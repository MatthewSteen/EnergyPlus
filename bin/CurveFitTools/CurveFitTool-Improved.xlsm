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R:\TOOLBOX\Team BP\Chillers\"/>
    </mc:Choice>
  </mc:AlternateContent>
  <bookViews>
    <workbookView xWindow="240" yWindow="165" windowWidth="14805" windowHeight="7950" activeTab="1"/>
  </bookViews>
  <sheets>
    <sheet name="INSTRUCTION" sheetId="1" r:id="rId1"/>
    <sheet name="INPUT" sheetId="2" r:id="rId2"/>
    <sheet name="OUTPUT" sheetId="3" r:id="rId3"/>
    <sheet name="BiLinear_BiQuad" sheetId="4" r:id="rId4"/>
    <sheet name="Linear_Quad_Cubic" sheetId="6" r:id="rId5"/>
    <sheet name="Lists" sheetId="7" r:id="rId6"/>
  </sheets>
  <functionGroups builtInGroupCount="18"/>
  <externalReferences>
    <externalReference r:id="rId7"/>
    <externalReference r:id="rId8"/>
  </externalReferences>
  <definedNames>
    <definedName name="_a" localSheetId="4">Linear_Quad_Cubic!$F$5</definedName>
    <definedName name="_a">[1]Linear_Quad_Cubic!$F$5</definedName>
    <definedName name="_b" localSheetId="4">Linear_Quad_Cubic!$G$5</definedName>
    <definedName name="_b">[1]Linear_Quad_Cubic!$G$5</definedName>
    <definedName name="_c" localSheetId="4">Linear_Quad_Cubic!$H$5</definedName>
    <definedName name="_c">[1]Linear_Quad_Cubic!$H$5</definedName>
    <definedName name="_d" localSheetId="4">Linear_Quad_Cubic!$I$5</definedName>
    <definedName name="_d">[1]Linear_Quad_Cubic!$I$5</definedName>
    <definedName name="_e">Linear_Quad_Cubic!$J$5</definedName>
    <definedName name="_f">Linear_Quad_Cubic!$K$5</definedName>
    <definedName name="_X_Axis" localSheetId="4">Linear_Quad_Cubic!$M$5</definedName>
    <definedName name="_X_Axis">[1]Linear_Quad_Cubic!$M$5</definedName>
    <definedName name="_X_max" localSheetId="4">Linear_Quad_Cubic!$P$5</definedName>
    <definedName name="_X_max">[1]Linear_Quad_Cubic!$P$5</definedName>
    <definedName name="_X_min" localSheetId="4">Linear_Quad_Cubic!$O$5</definedName>
    <definedName name="_X_min">[1]Linear_Quad_Cubic!$O$5</definedName>
    <definedName name="_Y_Axis">Linear_Quad_Cubic!$N$5</definedName>
    <definedName name="_Y_max">Linear_Quad_Cubic!$R$5</definedName>
    <definedName name="_Y_min">Linear_Quad_Cubic!$Q$5</definedName>
    <definedName name="_Z_Axis" localSheetId="4">Linear_Quad_Cubic!$L$5</definedName>
    <definedName name="_Z_Axis">[1]Linear_Quad_Cubic!$L$5</definedName>
    <definedName name="a" localSheetId="4">[2]BiLinear_BiQuad!$F$6</definedName>
    <definedName name="a">BiLinear_BiQuad!$F$5</definedName>
    <definedName name="a_t" localSheetId="4">[2]Towers!$E$52</definedName>
    <definedName name="a_t">[1]Towers!$E$52</definedName>
    <definedName name="a_tt" localSheetId="4">[2]Towers!$E$53</definedName>
    <definedName name="a_tt">[1]Towers!$E$53</definedName>
    <definedName name="b" localSheetId="4">[2]BiLinear_BiQuad!$G$6</definedName>
    <definedName name="b">BiLinear_BiQuad!$G$5</definedName>
    <definedName name="b_t" localSheetId="4">[2]Towers!$F$52</definedName>
    <definedName name="b_t">[1]Towers!$F$52</definedName>
    <definedName name="b_tt" localSheetId="4">[2]Towers!$F$53</definedName>
    <definedName name="b_tt">[1]Towers!$F$53</definedName>
    <definedName name="c_" localSheetId="4">[2]BiLinear_BiQuad!$H$6</definedName>
    <definedName name="c_">BiLinear_BiQuad!$H$5</definedName>
    <definedName name="c_t" localSheetId="4">[2]Towers!$G$52</definedName>
    <definedName name="c_t">[1]Towers!$G$52</definedName>
    <definedName name="c_tt" localSheetId="4">[2]Towers!$G$53</definedName>
    <definedName name="c_tt">[1]Towers!$G$53</definedName>
    <definedName name="CoolingCoil">INPUT!$B$13</definedName>
    <definedName name="CurveObjName">INPUT!$B$8</definedName>
    <definedName name="CurveType">INPUT!$B$5</definedName>
    <definedName name="d" localSheetId="4">[2]BiLinear_BiQuad!$I$6</definedName>
    <definedName name="d">BiLinear_BiQuad!$I$5</definedName>
    <definedName name="d_t" localSheetId="4">[2]Towers!$H$52</definedName>
    <definedName name="d_t">[1]Towers!$H$52</definedName>
    <definedName name="d_tt" localSheetId="4">[2]Towers!$H$53</definedName>
    <definedName name="d_tt">[1]Towers!$H$53</definedName>
    <definedName name="Data" localSheetId="4">'[2]COMNET Data'!$E$1:$Z$85</definedName>
    <definedName name="Data">'[1]COMNET Data'!$A$1:$W$82</definedName>
    <definedName name="DXCoilType">INPUT!$B$3</definedName>
    <definedName name="e" localSheetId="4">[2]BiLinear_BiQuad!$J$6</definedName>
    <definedName name="e">BiLinear_BiQuad!$J$5</definedName>
    <definedName name="e_t" localSheetId="4">[2]Towers!$I$52</definedName>
    <definedName name="e_t">[1]Towers!$I$52</definedName>
    <definedName name="e_tt" localSheetId="4">[2]Towers!$I$53</definedName>
    <definedName name="e_tt">[1]Towers!$I$53</definedName>
    <definedName name="EER">[2]Summary!#REF!</definedName>
    <definedName name="EPCurveObjName">OUTPUT!$C$2</definedName>
    <definedName name="f" localSheetId="4">[2]BiLinear_BiQuad!$K$6</definedName>
    <definedName name="f">BiLinear_BiQuad!$K$5</definedName>
    <definedName name="f_t" localSheetId="4">[2]Towers!$J$52</definedName>
    <definedName name="f_t">[1]Towers!$J$52</definedName>
    <definedName name="f_tt" localSheetId="4">[2]Towers!$J$53</definedName>
    <definedName name="f_tt">[1]Towers!$J$53</definedName>
    <definedName name="HeatingCoil">INPUT!$B$13</definedName>
    <definedName name="IndVariables">INPUT!$B$4</definedName>
    <definedName name="PathName">OUTPUT!$C$3</definedName>
    <definedName name="Q">[2]Summary!#REF!</definedName>
    <definedName name="RatedCondition">INPUT!$B$11</definedName>
    <definedName name="Towb" localSheetId="4">[2]Towers!$C$3</definedName>
    <definedName name="Towb">[1]Towers!$C$3</definedName>
    <definedName name="UnitsType">INPUT!$B$6</definedName>
    <definedName name="X_Axis" localSheetId="4">[2]BiLinear_BiQuad!$M$6</definedName>
    <definedName name="X_Axis">BiLinear_BiQuad!$M$5</definedName>
    <definedName name="X_max" localSheetId="4">[2]BiLinear_BiQuad!$P$6</definedName>
    <definedName name="X_max">BiLinear_BiQuad!$P$5</definedName>
    <definedName name="X_min" localSheetId="4">[2]BiLinear_BiQuad!$O$6</definedName>
    <definedName name="X_min">BiLinear_BiQuad!$O$5</definedName>
    <definedName name="Y_Axis" localSheetId="4">[2]BiLinear_BiQuad!$N$6</definedName>
    <definedName name="Y_Axis">BiLinear_BiQuad!$N$5</definedName>
    <definedName name="Y_max" localSheetId="4">[2]BiLinear_BiQuad!$R$6</definedName>
    <definedName name="Y_max">BiLinear_BiQuad!$R$5</definedName>
    <definedName name="Y_min" localSheetId="4">[2]BiLinear_BiQuad!$Q$6</definedName>
    <definedName name="Y_min">BiLinear_BiQuad!$Q$5</definedName>
    <definedName name="Z_Axis" localSheetId="4">[2]BiLinear_BiQuad!$L$6</definedName>
    <definedName name="Z_Axis">BiLinear_BiQuad!$L$5</definedName>
  </definedNames>
  <calcPr calcId="171027"/>
</workbook>
</file>

<file path=xl/calcChain.xml><?xml version="1.0" encoding="utf-8"?>
<calcChain xmlns="http://schemas.openxmlformats.org/spreadsheetml/2006/main">
  <c r="R5" i="6" l="1"/>
  <c r="Q5" i="6"/>
  <c r="P5" i="6"/>
  <c r="O5" i="6"/>
  <c r="G9" i="6" s="1"/>
  <c r="L5" i="6"/>
  <c r="H5" i="6"/>
  <c r="G5" i="6"/>
  <c r="F5" i="6"/>
  <c r="F5" i="4"/>
  <c r="F5" i="3"/>
  <c r="S5" i="6" l="1"/>
  <c r="M9" i="6"/>
  <c r="G8" i="6"/>
  <c r="R5" i="4"/>
  <c r="Q5" i="4"/>
  <c r="P5" i="4"/>
  <c r="O5" i="4"/>
  <c r="K5" i="4"/>
  <c r="J5" i="4"/>
  <c r="I5" i="4"/>
  <c r="H5" i="4"/>
  <c r="G5" i="4"/>
  <c r="L5" i="4"/>
  <c r="M10" i="6" l="1"/>
  <c r="L9" i="6"/>
  <c r="L10" i="6" s="1"/>
  <c r="I9" i="6"/>
  <c r="I10" i="6" s="1"/>
  <c r="J9" i="6"/>
  <c r="J10" i="6" s="1"/>
  <c r="G10" i="6"/>
  <c r="H9" i="6"/>
  <c r="H10" i="6" s="1"/>
  <c r="K9" i="6"/>
  <c r="K10" i="6" s="1"/>
  <c r="F11" i="4"/>
  <c r="F10" i="4"/>
  <c r="F16" i="4"/>
  <c r="F13" i="4"/>
  <c r="M9" i="4"/>
  <c r="L9" i="4"/>
  <c r="F9" i="4"/>
  <c r="G8" i="4"/>
  <c r="F14" i="4" l="1"/>
  <c r="L14" i="4" s="1"/>
  <c r="F15" i="4"/>
  <c r="G9" i="4"/>
  <c r="G16" i="4" s="1"/>
  <c r="M16" i="4"/>
  <c r="F12" i="4"/>
  <c r="M12" i="4" s="1"/>
  <c r="H9" i="4"/>
  <c r="H11" i="4" s="1"/>
  <c r="I9" i="4"/>
  <c r="I11" i="4" s="1"/>
  <c r="J9" i="4"/>
  <c r="J11" i="4" s="1"/>
  <c r="L10" i="4"/>
  <c r="L11" i="4"/>
  <c r="L13" i="4"/>
  <c r="L16" i="4"/>
  <c r="K9" i="4"/>
  <c r="M10" i="4"/>
  <c r="M11" i="4"/>
  <c r="M13" i="4"/>
  <c r="V131" i="1"/>
  <c r="G15" i="4" l="1"/>
  <c r="K12" i="4"/>
  <c r="I10" i="4"/>
  <c r="M15" i="4"/>
  <c r="I13" i="4"/>
  <c r="K10" i="4"/>
  <c r="M14" i="4"/>
  <c r="I12" i="4"/>
  <c r="L12" i="4"/>
  <c r="H12" i="4"/>
  <c r="K13" i="4"/>
  <c r="G14" i="4"/>
  <c r="K11" i="4"/>
  <c r="G13" i="4"/>
  <c r="H16" i="4"/>
  <c r="G12" i="4"/>
  <c r="J13" i="4"/>
  <c r="I16" i="4"/>
  <c r="H15" i="4"/>
  <c r="I15" i="4"/>
  <c r="H14" i="4"/>
  <c r="I14" i="4"/>
  <c r="H13" i="4"/>
  <c r="H10" i="4"/>
  <c r="G10" i="4"/>
  <c r="L15" i="4"/>
  <c r="K14" i="4"/>
  <c r="G11" i="4"/>
  <c r="K16" i="4"/>
  <c r="J16" i="4"/>
  <c r="K15" i="4"/>
  <c r="J15" i="4"/>
  <c r="J12" i="4"/>
  <c r="J10" i="4"/>
  <c r="J14" i="4"/>
  <c r="M131" i="1"/>
  <c r="K158" i="1" s="1"/>
  <c r="T131" i="1"/>
  <c r="K262" i="1"/>
  <c r="I158" i="1"/>
  <c r="I159" i="1"/>
  <c r="J159" i="1"/>
  <c r="I160" i="1"/>
  <c r="J160" i="1"/>
  <c r="I161" i="1"/>
  <c r="J161" i="1"/>
  <c r="I162" i="1"/>
  <c r="J162" i="1"/>
  <c r="I163" i="1"/>
  <c r="J163" i="1"/>
  <c r="I164" i="1"/>
  <c r="J164" i="1"/>
  <c r="I165" i="1"/>
  <c r="J165" i="1"/>
  <c r="I166" i="1"/>
  <c r="J166" i="1"/>
  <c r="I167" i="1"/>
  <c r="J167" i="1"/>
  <c r="I168" i="1"/>
  <c r="J168" i="1"/>
  <c r="I169" i="1"/>
  <c r="J169" i="1"/>
  <c r="I170" i="1"/>
  <c r="J170" i="1"/>
  <c r="I171" i="1"/>
  <c r="J171" i="1"/>
  <c r="I172" i="1"/>
  <c r="J172" i="1"/>
  <c r="I173" i="1"/>
  <c r="J173" i="1"/>
  <c r="I174" i="1"/>
  <c r="J174" i="1"/>
  <c r="I175" i="1"/>
  <c r="J175" i="1"/>
  <c r="I176" i="1"/>
  <c r="J176" i="1"/>
  <c r="I177" i="1"/>
  <c r="J177" i="1"/>
  <c r="K159" i="1"/>
  <c r="K160" i="1"/>
  <c r="K167" i="1"/>
  <c r="K168" i="1"/>
  <c r="K175" i="1"/>
  <c r="K176" i="1"/>
  <c r="V132" i="1"/>
  <c r="V133" i="1"/>
  <c r="V134" i="1"/>
  <c r="V135" i="1"/>
  <c r="S144" i="1"/>
  <c r="T132" i="1"/>
  <c r="T133" i="1"/>
  <c r="T134" i="1"/>
  <c r="T135" i="1"/>
  <c r="M132" i="1"/>
  <c r="M133" i="1"/>
  <c r="M134" i="1"/>
  <c r="K161" i="1" s="1"/>
  <c r="M135" i="1"/>
  <c r="K162" i="1" s="1"/>
  <c r="M136" i="1"/>
  <c r="K163" i="1" s="1"/>
  <c r="M137" i="1"/>
  <c r="K164" i="1" s="1"/>
  <c r="M138" i="1"/>
  <c r="K165" i="1" s="1"/>
  <c r="M139" i="1"/>
  <c r="K166" i="1" s="1"/>
  <c r="M140" i="1"/>
  <c r="M141" i="1"/>
  <c r="M142" i="1"/>
  <c r="K169" i="1" s="1"/>
  <c r="M143" i="1"/>
  <c r="K170" i="1" s="1"/>
  <c r="M144" i="1"/>
  <c r="K171" i="1" s="1"/>
  <c r="M145" i="1"/>
  <c r="K172" i="1" s="1"/>
  <c r="M146" i="1"/>
  <c r="K173" i="1" s="1"/>
  <c r="M147" i="1"/>
  <c r="K174" i="1" s="1"/>
  <c r="M148" i="1"/>
  <c r="M149" i="1"/>
  <c r="M150" i="1"/>
  <c r="K177" i="1" s="1"/>
  <c r="N131" i="1"/>
  <c r="N132" i="1" l="1"/>
  <c r="L159" i="1" s="1"/>
  <c r="N133" i="1"/>
  <c r="L160" i="1" s="1"/>
  <c r="N134" i="1"/>
  <c r="L161" i="1" s="1"/>
  <c r="N135" i="1"/>
  <c r="L162" i="1" s="1"/>
  <c r="N136" i="1"/>
  <c r="L163" i="1" s="1"/>
  <c r="N137" i="1"/>
  <c r="L164" i="1" s="1"/>
  <c r="N138" i="1"/>
  <c r="L165" i="1" s="1"/>
  <c r="N139" i="1"/>
  <c r="L166" i="1" s="1"/>
  <c r="N140" i="1"/>
  <c r="L167" i="1" s="1"/>
  <c r="N141" i="1"/>
  <c r="L168" i="1" s="1"/>
  <c r="N142" i="1"/>
  <c r="L169" i="1" s="1"/>
  <c r="N143" i="1"/>
  <c r="L170" i="1" s="1"/>
  <c r="N144" i="1"/>
  <c r="L171" i="1" s="1"/>
  <c r="N145" i="1"/>
  <c r="L172" i="1" s="1"/>
  <c r="N146" i="1"/>
  <c r="L173" i="1" s="1"/>
  <c r="N147" i="1"/>
  <c r="L174" i="1" s="1"/>
  <c r="N148" i="1"/>
  <c r="L175" i="1" s="1"/>
  <c r="N149" i="1"/>
  <c r="L176" i="1" s="1"/>
  <c r="N150" i="1"/>
  <c r="L177" i="1" s="1"/>
  <c r="L158" i="1"/>
  <c r="T144" i="1"/>
  <c r="C279" i="1" l="1"/>
  <c r="C278" i="1"/>
  <c r="C277" i="1"/>
  <c r="C276" i="1"/>
  <c r="C275" i="1"/>
  <c r="C274" i="1"/>
  <c r="K273" i="1"/>
  <c r="J273" i="1"/>
  <c r="I273" i="1"/>
  <c r="C273" i="1"/>
  <c r="K272" i="1"/>
  <c r="J272" i="1"/>
  <c r="I272" i="1"/>
  <c r="C272" i="1"/>
  <c r="K271" i="1"/>
  <c r="J271" i="1"/>
  <c r="I271" i="1"/>
  <c r="C271" i="1"/>
  <c r="K270" i="1"/>
  <c r="J270" i="1"/>
  <c r="I270" i="1"/>
  <c r="C270" i="1"/>
  <c r="K269" i="1"/>
  <c r="J269" i="1"/>
  <c r="I269" i="1"/>
  <c r="C269" i="1"/>
  <c r="K268" i="1"/>
  <c r="J268" i="1"/>
  <c r="I268" i="1"/>
  <c r="C268" i="1"/>
  <c r="K267" i="1"/>
  <c r="J267" i="1"/>
  <c r="I267" i="1"/>
  <c r="C267" i="1"/>
  <c r="K266" i="1"/>
  <c r="J266" i="1"/>
  <c r="I266" i="1"/>
  <c r="C266" i="1"/>
  <c r="K265" i="1"/>
  <c r="J265" i="1"/>
  <c r="I265" i="1"/>
  <c r="C265" i="1"/>
  <c r="K264" i="1"/>
  <c r="J264" i="1"/>
  <c r="I264" i="1"/>
  <c r="C264" i="1"/>
  <c r="K263" i="1"/>
  <c r="J263" i="1"/>
  <c r="I263" i="1"/>
  <c r="C263" i="1"/>
  <c r="J262" i="1"/>
  <c r="I262" i="1"/>
  <c r="C262" i="1"/>
  <c r="R255" i="1"/>
  <c r="Q255" i="1"/>
  <c r="R254" i="1"/>
  <c r="Q254" i="1"/>
  <c r="R253" i="1"/>
  <c r="Q253" i="1"/>
  <c r="C252" i="1"/>
  <c r="C251" i="1"/>
  <c r="C250" i="1"/>
  <c r="C249" i="1"/>
  <c r="C248" i="1"/>
  <c r="C247" i="1"/>
  <c r="C246" i="1"/>
  <c r="C245" i="1"/>
  <c r="C244" i="1"/>
  <c r="R239" i="1"/>
  <c r="J158" i="1"/>
  <c r="R148" i="1"/>
  <c r="R147" i="1"/>
  <c r="R146" i="1"/>
  <c r="R145" i="1"/>
  <c r="R144" i="1"/>
  <c r="T148" i="1"/>
  <c r="S148" i="1"/>
  <c r="T147" i="1"/>
  <c r="S147" i="1"/>
  <c r="T146" i="1"/>
  <c r="S146" i="1"/>
  <c r="T145" i="1"/>
  <c r="S145" i="1"/>
  <c r="L244" i="1" l="1"/>
  <c r="L262" i="1" s="1"/>
  <c r="T244" i="1"/>
  <c r="L247" i="1"/>
  <c r="L265" i="1" s="1"/>
  <c r="L251" i="1"/>
  <c r="L269" i="1" s="1"/>
  <c r="L255" i="1"/>
  <c r="L273" i="1" s="1"/>
  <c r="S253" i="1"/>
  <c r="L248" i="1"/>
  <c r="L266" i="1" s="1"/>
  <c r="L245" i="1"/>
  <c r="L263" i="1" s="1"/>
  <c r="L249" i="1"/>
  <c r="L267" i="1" s="1"/>
  <c r="T245" i="1"/>
  <c r="S254" i="1" s="1"/>
  <c r="L252" i="1"/>
  <c r="L270" i="1" s="1"/>
  <c r="L246" i="1"/>
  <c r="L264" i="1" s="1"/>
  <c r="L250" i="1"/>
  <c r="L268" i="1" s="1"/>
  <c r="L254" i="1"/>
  <c r="L272" i="1" s="1"/>
  <c r="T246" i="1"/>
  <c r="S255" i="1" s="1"/>
  <c r="L253" i="1"/>
  <c r="L271" i="1" s="1"/>
</calcChain>
</file>

<file path=xl/comments1.xml><?xml version="1.0" encoding="utf-8"?>
<comments xmlns="http://schemas.openxmlformats.org/spreadsheetml/2006/main">
  <authors>
    <author>Matt Steen</author>
  </authors>
  <commentList>
    <comment ref="B11" authorId="0" shapeId="0">
      <text>
        <r>
          <rPr>
            <sz val="9"/>
            <color indexed="81"/>
            <rFont val="Tahoma"/>
            <family val="2"/>
          </rPr>
          <t>X: Independent Variable 1</t>
        </r>
      </text>
    </comment>
    <comment ref="C11" authorId="0" shapeId="0">
      <text>
        <r>
          <rPr>
            <sz val="9"/>
            <color indexed="81"/>
            <rFont val="Tahoma"/>
            <family val="2"/>
          </rPr>
          <t>Y: Independent Variable 2</t>
        </r>
      </text>
    </comment>
    <comment ref="D11" authorId="0" shapeId="0">
      <text>
        <r>
          <rPr>
            <sz val="9"/>
            <color indexed="81"/>
            <rFont val="Tahoma"/>
            <family val="2"/>
          </rPr>
          <t>Capacity: Dependent Variable</t>
        </r>
      </text>
    </comment>
    <comment ref="E11" authorId="0" shapeId="0">
      <text>
        <r>
          <rPr>
            <sz val="9"/>
            <color indexed="81"/>
            <rFont val="Tahoma"/>
            <family val="2"/>
          </rPr>
          <t>Power: Dependent Variable</t>
        </r>
      </text>
    </comment>
  </commentList>
</comments>
</file>

<file path=xl/sharedStrings.xml><?xml version="1.0" encoding="utf-8"?>
<sst xmlns="http://schemas.openxmlformats.org/spreadsheetml/2006/main" count="317" uniqueCount="214">
  <si>
    <t xml:space="preserve">DX Coil Type: </t>
  </si>
  <si>
    <t xml:space="preserve">Independent Variable: </t>
  </si>
  <si>
    <t xml:space="preserve">Curve Type: </t>
  </si>
  <si>
    <t xml:space="preserve">Units: </t>
  </si>
  <si>
    <t xml:space="preserve">Rated Data:  </t>
  </si>
  <si>
    <t xml:space="preserve">Performance Data:  </t>
  </si>
  <si>
    <t>R Squared</t>
  </si>
  <si>
    <t>!- Coefficient1 Constant</t>
  </si>
  <si>
    <t>!- Coefficient2 x</t>
  </si>
  <si>
    <t>!- Coefficient3 x**2</t>
  </si>
  <si>
    <t>!- Minimum Value of x</t>
  </si>
  <si>
    <t>!- Maximum Value of x</t>
  </si>
  <si>
    <t>!- Minimum Curve Output</t>
  </si>
  <si>
    <t>!- Maximum Curve Output</t>
  </si>
  <si>
    <t>!- Input Unit Type for X</t>
  </si>
  <si>
    <t>Dimensionless</t>
  </si>
  <si>
    <t>!- Output Unit Type</t>
  </si>
  <si>
    <t>SAMPLE DATA I</t>
  </si>
  <si>
    <t>Carrier Two-Speed Electric Heat Pump: SYNERGY 38YDA</t>
  </si>
  <si>
    <t>Indoor Fan Power</t>
  </si>
  <si>
    <t>W</t>
  </si>
  <si>
    <t>Capacity and Power data at various temperatures and rated flow rate.  This data is</t>
  </si>
  <si>
    <t xml:space="preserve">Capacity and Power Data at various supply air flow rates and rated temperatures. </t>
  </si>
  <si>
    <t>Manufacturer's Data</t>
  </si>
  <si>
    <t>used to generate Capacity and EIR curves as a function of temperatures.</t>
  </si>
  <si>
    <t xml:space="preserve"> This data is used to generate Capacity and EIR curves as a flow fraction.</t>
  </si>
  <si>
    <t>Corrected</t>
  </si>
  <si>
    <t>CFM</t>
  </si>
  <si>
    <t>Format Required By the Tool</t>
  </si>
  <si>
    <t>INPUT DATA FOR CAP AND EIR AS A FUNCTION OF FLOW</t>
  </si>
  <si>
    <t>INPUT DATA FOR CAP AND EIR AS A FUNCTION OF TEMPERATURE</t>
  </si>
  <si>
    <t>SAMPLE DATA II</t>
  </si>
  <si>
    <t>PACKAGED HEAT PUMP</t>
  </si>
  <si>
    <t>LENNOX KH Landmark RoofTop Unit: Model KHA036S4</t>
  </si>
  <si>
    <t xml:space="preserve">Outdoor Coil Fan Power: </t>
  </si>
  <si>
    <t>Capacity and Power data at various temperatures and rated flow rate.  This data</t>
  </si>
  <si>
    <t xml:space="preserve"> is used to generate Capacity and EIR curves as a function of temperatures.</t>
  </si>
  <si>
    <t xml:space="preserve">Curve Object Name: </t>
  </si>
  <si>
    <t>!- Name</t>
  </si>
  <si>
    <t xml:space="preserve">Output File Name: </t>
  </si>
  <si>
    <t>Cooling</t>
  </si>
  <si>
    <t xml:space="preserve">Output File Path: </t>
  </si>
  <si>
    <t>TDB, °F</t>
  </si>
  <si>
    <r>
      <t xml:space="preserve">TWB, </t>
    </r>
    <r>
      <rPr>
        <sz val="11"/>
        <color theme="1"/>
        <rFont val="Calibri"/>
        <family val="2"/>
      </rPr>
      <t>°F</t>
    </r>
  </si>
  <si>
    <t>CAP, kBTuh</t>
  </si>
  <si>
    <t>Total POWER, kW</t>
  </si>
  <si>
    <t>GROSS CAP, kBtuh</t>
  </si>
  <si>
    <t>POWER, kW</t>
  </si>
  <si>
    <t>TWB, °F</t>
  </si>
  <si>
    <t>CAP, kBtuh</t>
  </si>
  <si>
    <t>Gross CAP, kBtuh</t>
  </si>
  <si>
    <t>Power (Compressor + Outdoor Coil Fan), kW</t>
  </si>
  <si>
    <t>Power, kW</t>
  </si>
  <si>
    <t>Comp. Power, kW</t>
  </si>
  <si>
    <t>Flow, CFM</t>
  </si>
  <si>
    <t>Flow</t>
  </si>
  <si>
    <t>EPlusCurveObjects</t>
  </si>
  <si>
    <t>C:\EnergyPlus-Dev\EnergyPlusV8-2-0\PreProcess\HVACCurveFitTool\</t>
  </si>
  <si>
    <t>IP</t>
  </si>
  <si>
    <t>kBtuh</t>
  </si>
  <si>
    <t>kW</t>
  </si>
  <si>
    <t>Select the Curve from the list below:</t>
  </si>
  <si>
    <t>Lookup Values from COMNET Data</t>
  </si>
  <si>
    <t>Table 86 - Chiller Capacity Temperature Adjustment - Air Cooled - Scroll</t>
  </si>
  <si>
    <t>a</t>
  </si>
  <si>
    <t>b</t>
  </si>
  <si>
    <t>c</t>
  </si>
  <si>
    <t>d</t>
  </si>
  <si>
    <t>e</t>
  </si>
  <si>
    <t>f</t>
  </si>
  <si>
    <t>Z Axis</t>
  </si>
  <si>
    <t>X Axis</t>
  </si>
  <si>
    <t>Y Axis</t>
  </si>
  <si>
    <t>X_min</t>
  </si>
  <si>
    <t>X_max</t>
  </si>
  <si>
    <t>Y_min</t>
  </si>
  <si>
    <t>Y-max</t>
  </si>
  <si>
    <t>Plot Values</t>
  </si>
  <si>
    <t>Table 68 - Air Cooled DX - PTAC</t>
  </si>
  <si>
    <t>Table 68 - Air Cooled DX - Other</t>
  </si>
  <si>
    <t>Table 68 - Water Cooled DX - HP</t>
  </si>
  <si>
    <t>Table 68 - Water Cooled DX - Other</t>
  </si>
  <si>
    <t>Table 68 - Chilled Water Coils - Fan Coil</t>
  </si>
  <si>
    <t>Table 68 - Chilled Water Coils - Other</t>
  </si>
  <si>
    <t>Table 71 - Coil Bypass Temperature Adjustment - PTAC</t>
  </si>
  <si>
    <t>Table 71 - Coil Bypass Temperature Adjustment - HP</t>
  </si>
  <si>
    <t>Table 71 - Coil Bypass Temperature Adjustment - PSZ / Other</t>
  </si>
  <si>
    <t>Table 74 - Cooling System Efficiency Temperature Adjustment - Water Source HP</t>
  </si>
  <si>
    <t>Table 74 - Cooling System Efficiency Temperature Adjustment - Water Source Other</t>
  </si>
  <si>
    <t>Table 74 - Cooling System Efficiency Temperature Adjustment - Air Source PTAC</t>
  </si>
  <si>
    <t>Table 74 - Cooling System Efficiency Temperature Adjustment - Air Source Other</t>
  </si>
  <si>
    <t>Table 79 - Heat Pump Capacity Temperature Adjustment - Water Source</t>
  </si>
  <si>
    <t>Table 79 - Heat Pump Capacity Temperature Adjustment - Air Source</t>
  </si>
  <si>
    <t xml:space="preserve">Table 80 - Heat Pump Efficiency Temperature Adjustment - Water Source </t>
  </si>
  <si>
    <t>Table 81 - Liquid Desiccant Temperature Adjustment</t>
  </si>
  <si>
    <t>Table 81 - Liquid Desiccant Humidity Ratio Adjustment</t>
  </si>
  <si>
    <t>Table 81 - Liquid Desiccant Gas Use Adjustment</t>
  </si>
  <si>
    <t>Table 81 - Liquid Desiccant Electric Use Adjustment</t>
  </si>
  <si>
    <t>Table 86 - Chiller Capacity Temperature Adjustment - Air Cooled - Reciprocating</t>
  </si>
  <si>
    <t>Table 86 - Chiller Capacity Temperature Adjustment - Air Cooled - Screw</t>
  </si>
  <si>
    <t>Table 87 - Chiller Capacity Temperature Adjustment - Water Cooled - Scroll</t>
  </si>
  <si>
    <t>Table 87 - Chiller Capacity Temperature Adjustment - Water Cooled - Reciprocating</t>
  </si>
  <si>
    <t>Table 87 - Chiller Capacity Temperature Adjustment - Water Cooled - Screw</t>
  </si>
  <si>
    <t>Table 87 - Chiller Capacity Temperature Adjustment - Water Cooled - Centrifugal</t>
  </si>
  <si>
    <t>Table 88 - Chiller Capacity Temperature Adjustment - Single Stage Absorption</t>
  </si>
  <si>
    <t>Table 88 - Chiller Capacity Temperature Adjustment - Double Stage Absorption</t>
  </si>
  <si>
    <t>Table 88 - Chiller Capacity Temperature Adjustment - Direct Fired Absorption</t>
  </si>
  <si>
    <t>Table 88 - Chiller Capacity Temperature Adjustment - Engine Driven Chiller</t>
  </si>
  <si>
    <t>Table 89 - Chiller Efficiency Temperature Adjustment - Air Cooled - Scroll</t>
  </si>
  <si>
    <t>Table 89 - Chiller Efficiency Temperature Adjustment - Air Cooled - Reciprocating</t>
  </si>
  <si>
    <t>Table 89 - Chiller Efficiency Temperature Adjustment - Air Cooled - Screw</t>
  </si>
  <si>
    <t>Table 90 - Chiller Efficiency Temperature Adjustment - Water Cooled - Scroll</t>
  </si>
  <si>
    <t>Table 90 - Chiller Efficiency Temperature Adjustment - Water Cooled - Reciprocating</t>
  </si>
  <si>
    <t>Table 90 - Chiller Efficiency Temperature Adjustment - Water Cooled - Screw</t>
  </si>
  <si>
    <t>Table 90 - Chiller Efficiency Temperature Adjustment - Water Cooled - Centrifugal</t>
  </si>
  <si>
    <t>Table 95 - Chiller Efficiency Temperature Adjustment - Single Stage Absorption</t>
  </si>
  <si>
    <t>Table 95 - Chiller Efficiency Temperature Adjustment - Double Stage Absorption</t>
  </si>
  <si>
    <t>Table 95 - Chiller Efficiency Temperature Adjustment - Direct Fired Stage Absorption</t>
  </si>
  <si>
    <t>Table 96 - Engine Driven Chiller Efficiency Temperature Adjustment - %Speed Less Than Minimum</t>
  </si>
  <si>
    <t>Table 96 - Engine Driven Chiller Efficiency Temperature Adjustment - %Speed Minimum to 60%</t>
  </si>
  <si>
    <t>Table 96 - Engine Driven Chiller Efficiency Temperature Adjustment - %Speed More than 60% Minimum</t>
  </si>
  <si>
    <t>Biquadratic</t>
  </si>
  <si>
    <t>Temperature</t>
  </si>
  <si>
    <t>oF</t>
  </si>
  <si>
    <t>Other</t>
  </si>
  <si>
    <t>X: Independent Variable 1</t>
  </si>
  <si>
    <t>Y: Independent Variable 2</t>
  </si>
  <si>
    <t>Capacity: Dependent Variable</t>
  </si>
  <si>
    <t>Power: Dependent Variable</t>
  </si>
  <si>
    <t>Select the Dependent Variable to Plot</t>
  </si>
  <si>
    <t>Capacity</t>
  </si>
  <si>
    <t>Efficiency</t>
  </si>
  <si>
    <t>Tcw,l</t>
  </si>
  <si>
    <t>Tcond,e</t>
  </si>
  <si>
    <t>Cooling System Efficiency Part Load Adjustment - Air Source Other</t>
  </si>
  <si>
    <t>_a</t>
  </si>
  <si>
    <t>_b</t>
  </si>
  <si>
    <t>_c</t>
  </si>
  <si>
    <t>_d</t>
  </si>
  <si>
    <t>_e</t>
  </si>
  <si>
    <t>_f</t>
  </si>
  <si>
    <t>_Z Axis</t>
  </si>
  <si>
    <t>_X Axis</t>
  </si>
  <si>
    <t>_Y Axis</t>
  </si>
  <si>
    <t>_X_min</t>
  </si>
  <si>
    <t>_X_max</t>
  </si>
  <si>
    <t>_Y_min</t>
  </si>
  <si>
    <t>_Y_max</t>
  </si>
  <si>
    <t>Source</t>
  </si>
  <si>
    <t>Reference</t>
  </si>
  <si>
    <t>to Original</t>
  </si>
  <si>
    <t>COMNET</t>
  </si>
  <si>
    <t>Fan Power Part Load Adjustment - AF or BI Riding Curve</t>
  </si>
  <si>
    <t>Table 65</t>
  </si>
  <si>
    <t>Fan Power Part Load Adjustment - AF or BI Inlet Vanes</t>
  </si>
  <si>
    <t>Fan Power Part Load Adjustment - FC Riding Curve</t>
  </si>
  <si>
    <t>Fan Power Part Load Adjustment - FC Inlet Vanes</t>
  </si>
  <si>
    <t>Fan Power Part Load Adjustment - Vane Axial Variable Pitch Blades</t>
  </si>
  <si>
    <t>Fan Power Part Load Adjustment - Any Fan with VSD</t>
  </si>
  <si>
    <t>Fan Power Part Load Adjustment - VSD with Static Pressure Reset</t>
  </si>
  <si>
    <t>Coil Bypass Airflow Adjustment - PTAC</t>
  </si>
  <si>
    <t>Table 70</t>
  </si>
  <si>
    <t>Coil Bypass Airflow Adjustment - HP</t>
  </si>
  <si>
    <t>Coil Bypass Airflow Adjustment - PSZ / Other</t>
  </si>
  <si>
    <t>Coil Bypass Part Load Adjustment - All Systems</t>
  </si>
  <si>
    <t>Table 72</t>
  </si>
  <si>
    <t>Cooling System Efficiency Part Load Adjustment - Water Source HP</t>
  </si>
  <si>
    <t>Table 73</t>
  </si>
  <si>
    <t>Cooling System Efficiency Part Load Adjustment - Water Source Other</t>
  </si>
  <si>
    <t>Cooling System Efficiency Part Load Adjustment - Air Source PTAC</t>
  </si>
  <si>
    <t>Evaporative Cooler Effectiveness Airflow Adjustment - Direct</t>
  </si>
  <si>
    <t>Table 76</t>
  </si>
  <si>
    <t>Evaporative Cooler Effectiveness Airflow Adjustment - Indirect</t>
  </si>
  <si>
    <t>Furnace Efficiency Part Load Adjustment - All Furnaces</t>
  </si>
  <si>
    <t>Table 78</t>
  </si>
  <si>
    <t xml:space="preserve">Heat Pump Efficiency Part Load Adjustment - All </t>
  </si>
  <si>
    <t>Table 80</t>
  </si>
  <si>
    <t xml:space="preserve">Heat Pump Efficiency Temperature Adjustment - Air Source </t>
  </si>
  <si>
    <t>Chiller Efficiency Part Load Adjustment - Air Cooled - Scroll</t>
  </si>
  <si>
    <t>Table 91</t>
  </si>
  <si>
    <t>Chiller Efficiency Part Load Adjustment - Air Cooled - Reciprocating</t>
  </si>
  <si>
    <t>Chiller Efficiency Part Load Adjustment - Air Cooled - Screw</t>
  </si>
  <si>
    <t>Chiller Efficiency Part Load Adjustment - Water Cooled - Scroll</t>
  </si>
  <si>
    <t>Table 92</t>
  </si>
  <si>
    <t>Chiller Efficiency Part Load Adjustment - Water Cooled - Reciprocating</t>
  </si>
  <si>
    <t>Chiller Efficiency Part Load Adjustment - Water Cooled - Screw</t>
  </si>
  <si>
    <t>Chiller Efficiency Part Load Adjustment - Water Cooled - Centrifugal</t>
  </si>
  <si>
    <t>Chiller Efficiency Part Load Adjustment - Single Stage Absorption</t>
  </si>
  <si>
    <t>Table 93</t>
  </si>
  <si>
    <t>Chiller Efficiency Part Load Adjustment - Double Stage Absorption</t>
  </si>
  <si>
    <t>Chiller Efficiency Part Load Adjustment - Direct Fired Stage Absorption</t>
  </si>
  <si>
    <t>Engine Driven Chiller Efficiency Part Load Adjustment - %Speed Less Than Minimum</t>
  </si>
  <si>
    <t>Table 94</t>
  </si>
  <si>
    <t>Engine Driven Chiller Efficiency Part Load Adjustment - %Speed Minimum to 60%</t>
  </si>
  <si>
    <t>Engine Driven Chiller Efficiency Part Load Adjustment - %Speed More than 60% Minimum</t>
  </si>
  <si>
    <t>Tower Efficiency Part Load Adjustment - VSD on Fan</t>
  </si>
  <si>
    <t>Table 98</t>
  </si>
  <si>
    <t>Pump Power Part Load Adjustment</t>
  </si>
  <si>
    <t>Table 99</t>
  </si>
  <si>
    <t>Source:</t>
  </si>
  <si>
    <t>http://www.comnet.org/reference-appendices</t>
  </si>
  <si>
    <t>Heating</t>
  </si>
  <si>
    <t>Coil Type</t>
  </si>
  <si>
    <t>Independent Variable</t>
  </si>
  <si>
    <t>Dep Var</t>
  </si>
  <si>
    <t>CHILLERS ONLY</t>
  </si>
  <si>
    <t>! 0.9997</t>
  </si>
  <si>
    <t>Curve:Quadratic</t>
  </si>
  <si>
    <t>OtherCAPFTemp</t>
  </si>
  <si>
    <t>! 0.9986</t>
  </si>
  <si>
    <t>OtherEIRFTemp</t>
  </si>
  <si>
    <t>PLR</t>
  </si>
  <si>
    <t>EIR</t>
  </si>
  <si>
    <t>&lt; Select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</si>
</sst>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00"/>
    <numFmt numFmtId="165" formatCode="0.00000000"/>
    <numFmt numFmtId="166" formatCode="0.0000000000"/>
    <numFmt numFmtId="167" formatCode="0.000"/>
    <numFmt numFmtId="168" formatCode="0.0"/>
    <numFmt numFmtId="169" formatCode="0.0000000000000000"/>
  </numFmts>
  <fonts count="15" x14ac:knownFonts="1">
    <font>
      <sz val="11"/>
      <color theme="1"/>
      <name val="Calibri"/>
      <family val="2"/>
      <scheme val="minor"/>
    </font>
    <font>
      <b/>
      <sz val="11"/>
      <color theme="1"/>
      <name val="Calibri"/>
      <family val="2"/>
      <scheme val="minor"/>
    </font>
    <font>
      <b/>
      <sz val="12"/>
      <color rgb="FF0000CC"/>
      <name val="Calibri"/>
      <family val="2"/>
      <scheme val="minor"/>
    </font>
    <font>
      <sz val="11"/>
      <name val="Calibri"/>
      <family val="2"/>
      <scheme val="minor"/>
    </font>
    <font>
      <sz val="14"/>
      <color rgb="FF0000CC"/>
      <name val="Calibri"/>
      <family val="2"/>
      <scheme val="minor"/>
    </font>
    <font>
      <sz val="11"/>
      <color rgb="FF0000CC"/>
      <name val="Calibri"/>
      <family val="2"/>
      <scheme val="minor"/>
    </font>
    <font>
      <b/>
      <sz val="11"/>
      <color rgb="FF0000CC"/>
      <name val="Calibri"/>
      <family val="2"/>
      <scheme val="minor"/>
    </font>
    <font>
      <sz val="9"/>
      <color indexed="81"/>
      <name val="Tahoma"/>
      <family val="2"/>
    </font>
    <font>
      <b/>
      <sz val="16"/>
      <color rgb="FF0000FF"/>
      <name val="Calibri"/>
      <family val="2"/>
    </font>
    <font>
      <b/>
      <sz val="14"/>
      <color rgb="FF0000FF"/>
      <name val="Calibri"/>
      <family val="2"/>
    </font>
    <font>
      <sz val="11"/>
      <color theme="1"/>
      <name val="Calibri"/>
      <family val="2"/>
    </font>
    <font>
      <sz val="10"/>
      <color indexed="8"/>
      <name val="Arial"/>
      <family val="2"/>
    </font>
    <font>
      <sz val="10"/>
      <name val="Arial"/>
      <family val="2"/>
    </font>
    <font>
      <b/>
      <sz val="10"/>
      <name val="Arial"/>
      <family val="2"/>
    </font>
    <font>
      <u/>
      <sz val="11"/>
      <color theme="10"/>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indexed="43"/>
        <bgColor indexed="64"/>
      </patternFill>
    </fill>
    <fill>
      <patternFill patternType="solid">
        <fgColor rgb="FFFFFF00"/>
        <bgColor indexed="64"/>
      </patternFill>
    </fill>
    <fill>
      <patternFill patternType="solid">
        <fgColor theme="4"/>
        <bgColor indexed="64"/>
      </patternFill>
    </fill>
  </fills>
  <borders count="15">
    <border>
      <left/>
      <right/>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bottom style="double">
        <color indexed="64"/>
      </bottom>
      <diagonal/>
    </border>
    <border>
      <left/>
      <right/>
      <top style="thin">
        <color indexed="64"/>
      </top>
      <bottom style="double">
        <color indexed="64"/>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bottom/>
      <diagonal/>
    </border>
  </borders>
  <cellStyleXfs count="5">
    <xf numFmtId="0" fontId="0" fillId="0" borderId="0"/>
    <xf numFmtId="0" fontId="11" fillId="0" borderId="0"/>
    <xf numFmtId="0" fontId="12" fillId="0" borderId="0"/>
    <xf numFmtId="0" fontId="11" fillId="0" borderId="0"/>
    <xf numFmtId="0" fontId="14" fillId="0" borderId="0" applyNumberFormat="0" applyFill="0" applyBorder="0" applyAlignment="0" applyProtection="0"/>
  </cellStyleXfs>
  <cellXfs count="103">
    <xf numFmtId="0" fontId="0" fillId="0" borderId="0" xfId="0"/>
    <xf numFmtId="0" fontId="1" fillId="2" borderId="1" xfId="0" applyFont="1" applyFill="1" applyBorder="1" applyAlignment="1">
      <alignment horizontal="right" vertical="center"/>
    </xf>
    <xf numFmtId="0" fontId="2" fillId="2" borderId="2" xfId="0" applyFont="1" applyFill="1" applyBorder="1" applyAlignment="1">
      <alignment horizontal="center"/>
    </xf>
    <xf numFmtId="0" fontId="0" fillId="0" borderId="0" xfId="0" applyFill="1"/>
    <xf numFmtId="0" fontId="1" fillId="2" borderId="3" xfId="0" applyFont="1" applyFill="1" applyBorder="1" applyAlignment="1">
      <alignment horizontal="right" vertical="center"/>
    </xf>
    <xf numFmtId="0" fontId="2" fillId="2" borderId="4" xfId="0" applyFont="1" applyFill="1" applyBorder="1" applyAlignment="1">
      <alignment horizontal="center" vertical="center"/>
    </xf>
    <xf numFmtId="0" fontId="1" fillId="2" borderId="5" xfId="0" applyFont="1" applyFill="1" applyBorder="1" applyAlignment="1">
      <alignment horizontal="right" vertical="center"/>
    </xf>
    <xf numFmtId="0" fontId="2" fillId="2" borderId="6"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right"/>
    </xf>
    <xf numFmtId="0" fontId="0" fillId="0" borderId="0" xfId="0" applyFill="1" applyAlignment="1">
      <alignment horizontal="center" vertical="center"/>
    </xf>
    <xf numFmtId="0" fontId="1" fillId="2" borderId="0" xfId="0" applyFont="1" applyFill="1" applyAlignment="1">
      <alignment horizontal="right" vertical="center"/>
    </xf>
    <xf numFmtId="0" fontId="1" fillId="2" borderId="7" xfId="0" applyFont="1" applyFill="1" applyBorder="1" applyAlignment="1">
      <alignment horizontal="center" vertical="center" wrapText="1" shrinkToFit="1"/>
    </xf>
    <xf numFmtId="0" fontId="1" fillId="2" borderId="8" xfId="0" applyFont="1" applyFill="1" applyBorder="1" applyAlignment="1">
      <alignment horizontal="center" vertical="center" wrapText="1" shrinkToFit="1"/>
    </xf>
    <xf numFmtId="0" fontId="1" fillId="2" borderId="4" xfId="0" applyFont="1" applyFill="1" applyBorder="1" applyAlignment="1">
      <alignment horizontal="center" vertical="center" wrapText="1" shrinkToFit="1"/>
    </xf>
    <xf numFmtId="0" fontId="1" fillId="0" borderId="7" xfId="0" applyFont="1" applyFill="1" applyBorder="1" applyAlignment="1">
      <alignment horizontal="center" vertical="center"/>
    </xf>
    <xf numFmtId="0" fontId="1" fillId="0" borderId="4" xfId="0" applyFont="1" applyFill="1" applyBorder="1" applyAlignment="1">
      <alignment horizontal="center" vertical="center"/>
    </xf>
    <xf numFmtId="0" fontId="1" fillId="2" borderId="9" xfId="0" applyFont="1" applyFill="1" applyBorder="1" applyAlignment="1">
      <alignment horizontal="center" vertical="center" wrapText="1" shrinkToFit="1"/>
    </xf>
    <xf numFmtId="0" fontId="1" fillId="2" borderId="10" xfId="0" applyFont="1" applyFill="1" applyBorder="1" applyAlignment="1">
      <alignment horizontal="center" vertical="center" wrapText="1" shrinkToFit="1"/>
    </xf>
    <xf numFmtId="0" fontId="1" fillId="2" borderId="6" xfId="0" applyFont="1" applyFill="1" applyBorder="1" applyAlignment="1">
      <alignment horizontal="center" vertical="center" wrapText="1" shrinkToFit="1"/>
    </xf>
    <xf numFmtId="1" fontId="0" fillId="0" borderId="0" xfId="0" applyNumberFormat="1" applyFill="1" applyAlignment="1">
      <alignment horizontal="center" vertical="center"/>
    </xf>
    <xf numFmtId="2" fontId="0" fillId="0" borderId="0" xfId="0" applyNumberFormat="1" applyFill="1" applyAlignment="1">
      <alignment horizontal="center" vertical="center"/>
    </xf>
    <xf numFmtId="1" fontId="3" fillId="0" borderId="0" xfId="0" applyNumberFormat="1" applyFont="1" applyFill="1" applyAlignment="1">
      <alignment horizontal="center" vertical="center"/>
    </xf>
    <xf numFmtId="2" fontId="3" fillId="0" borderId="0" xfId="0" applyNumberFormat="1" applyFont="1" applyFill="1" applyAlignment="1">
      <alignment horizontal="center" vertical="center"/>
    </xf>
    <xf numFmtId="0" fontId="0" fillId="0" borderId="0" xfId="0" applyFill="1" applyAlignment="1">
      <alignment wrapText="1"/>
    </xf>
    <xf numFmtId="164" fontId="0" fillId="0" borderId="0" xfId="0" applyNumberFormat="1" applyFill="1"/>
    <xf numFmtId="0" fontId="3" fillId="0" borderId="0" xfId="0" applyFont="1" applyFill="1" applyAlignment="1">
      <alignment horizontal="center" vertical="center"/>
    </xf>
    <xf numFmtId="165" fontId="0" fillId="0" borderId="0" xfId="0" applyNumberFormat="1" applyFill="1" applyAlignment="1">
      <alignment horizontal="center" vertical="center"/>
    </xf>
    <xf numFmtId="166" fontId="0" fillId="0" borderId="0" xfId="0" applyNumberFormat="1" applyFill="1"/>
    <xf numFmtId="0" fontId="3" fillId="0" borderId="0" xfId="0" applyFont="1" applyFill="1" applyAlignment="1">
      <alignment horizontal="right" vertical="center"/>
    </xf>
    <xf numFmtId="167" fontId="0" fillId="0" borderId="0" xfId="0" applyNumberFormat="1" applyFill="1"/>
    <xf numFmtId="2" fontId="0" fillId="0" borderId="0" xfId="0" applyNumberFormat="1" applyFill="1"/>
    <xf numFmtId="2" fontId="0" fillId="0" borderId="0" xfId="0" applyNumberFormat="1" applyFill="1" applyAlignment="1">
      <alignment horizontal="right"/>
    </xf>
    <xf numFmtId="0" fontId="0" fillId="0" borderId="0" xfId="0" applyFill="1" applyAlignment="1">
      <alignment horizontal="right" wrapText="1"/>
    </xf>
    <xf numFmtId="166" fontId="0" fillId="0" borderId="0" xfId="0" applyNumberFormat="1" applyFill="1" applyAlignment="1">
      <alignment horizontal="center"/>
    </xf>
    <xf numFmtId="0" fontId="4" fillId="2" borderId="0" xfId="0" applyFont="1" applyFill="1"/>
    <xf numFmtId="0" fontId="5" fillId="2" borderId="0" xfId="0" applyFont="1" applyFill="1"/>
    <xf numFmtId="0" fontId="5" fillId="0" borderId="0" xfId="0" applyFont="1" applyFill="1"/>
    <xf numFmtId="0" fontId="0" fillId="2" borderId="0" xfId="0" applyFill="1"/>
    <xf numFmtId="168" fontId="0" fillId="0" borderId="0" xfId="0" applyNumberFormat="1"/>
    <xf numFmtId="0" fontId="0" fillId="0" borderId="11" xfId="0" applyBorder="1"/>
    <xf numFmtId="0" fontId="0" fillId="0" borderId="0" xfId="0" applyAlignment="1">
      <alignment horizontal="center"/>
    </xf>
    <xf numFmtId="168" fontId="0" fillId="0" borderId="0" xfId="0" applyNumberFormat="1" applyAlignment="1">
      <alignment horizontal="center"/>
    </xf>
    <xf numFmtId="2" fontId="0" fillId="0" borderId="0" xfId="0" applyNumberFormat="1" applyAlignment="1">
      <alignment horizontal="center"/>
    </xf>
    <xf numFmtId="2" fontId="5" fillId="0" borderId="0" xfId="0" applyNumberFormat="1" applyFont="1" applyAlignment="1">
      <alignment horizontal="center"/>
    </xf>
    <xf numFmtId="2" fontId="6" fillId="0" borderId="0" xfId="0" applyNumberFormat="1" applyFont="1"/>
    <xf numFmtId="2" fontId="0" fillId="0" borderId="0" xfId="0" applyNumberFormat="1"/>
    <xf numFmtId="0" fontId="0" fillId="0" borderId="11" xfId="0" applyBorder="1" applyAlignment="1">
      <alignment horizontal="center"/>
    </xf>
    <xf numFmtId="0" fontId="5" fillId="0" borderId="0" xfId="0" applyFont="1" applyAlignment="1">
      <alignment horizontal="center"/>
    </xf>
    <xf numFmtId="0" fontId="1" fillId="0" borderId="0" xfId="0" applyFont="1" applyBorder="1" applyAlignment="1">
      <alignment vertical="center" wrapText="1" shrinkToFit="1"/>
    </xf>
    <xf numFmtId="0" fontId="1" fillId="0" borderId="0" xfId="0" applyFont="1" applyBorder="1" applyAlignment="1">
      <alignment horizontal="center" vertical="center" wrapText="1" shrinkToFit="1"/>
    </xf>
    <xf numFmtId="0" fontId="0" fillId="0" borderId="12" xfId="0" applyBorder="1"/>
    <xf numFmtId="2" fontId="0" fillId="0" borderId="0" xfId="0" applyNumberFormat="1" applyBorder="1"/>
    <xf numFmtId="0" fontId="0" fillId="0" borderId="12" xfId="0" applyBorder="1" applyAlignment="1">
      <alignment horizontal="center"/>
    </xf>
    <xf numFmtId="168" fontId="3" fillId="0" borderId="0" xfId="0" applyNumberFormat="1" applyFont="1" applyFill="1" applyAlignment="1">
      <alignment horizontal="center" vertical="center"/>
    </xf>
    <xf numFmtId="167" fontId="3" fillId="0" borderId="0" xfId="0" applyNumberFormat="1" applyFont="1" applyFill="1" applyAlignment="1">
      <alignment horizontal="right" vertical="center"/>
    </xf>
    <xf numFmtId="168" fontId="0" fillId="0" borderId="0" xfId="0" applyNumberFormat="1" applyFill="1" applyAlignment="1">
      <alignment horizontal="center" vertical="center"/>
    </xf>
    <xf numFmtId="0" fontId="0" fillId="0" borderId="0" xfId="0" applyAlignment="1">
      <alignment horizontal="right"/>
    </xf>
    <xf numFmtId="0" fontId="0" fillId="0" borderId="0" xfId="0" applyAlignment="1">
      <alignment horizontal="left"/>
    </xf>
    <xf numFmtId="0" fontId="1" fillId="0" borderId="0" xfId="0" applyFont="1" applyFill="1" applyBorder="1" applyAlignment="1">
      <alignment horizontal="right" vertical="center"/>
    </xf>
    <xf numFmtId="0" fontId="2" fillId="0" borderId="0" xfId="0" applyFont="1" applyFill="1" applyBorder="1" applyAlignment="1">
      <alignment horizontal="center"/>
    </xf>
    <xf numFmtId="166" fontId="0" fillId="0" borderId="0" xfId="0" applyNumberFormat="1" applyAlignment="1">
      <alignment horizontal="right"/>
    </xf>
    <xf numFmtId="164" fontId="0" fillId="0" borderId="0" xfId="0" applyNumberFormat="1" applyAlignment="1">
      <alignment horizontal="right"/>
    </xf>
    <xf numFmtId="0" fontId="1" fillId="2" borderId="3" xfId="0" applyFont="1" applyFill="1" applyBorder="1" applyAlignment="1">
      <alignment horizontal="center" vertical="center"/>
    </xf>
    <xf numFmtId="168" fontId="5" fillId="0" borderId="0" xfId="0" applyNumberFormat="1" applyFont="1" applyAlignment="1">
      <alignment horizontal="center"/>
    </xf>
    <xf numFmtId="2" fontId="0" fillId="0" borderId="0" xfId="0" applyNumberFormat="1" applyAlignment="1">
      <alignment horizontal="right"/>
    </xf>
    <xf numFmtId="2" fontId="5" fillId="0" borderId="0" xfId="0" applyNumberFormat="1" applyFont="1" applyAlignment="1">
      <alignment horizontal="center" vertical="center"/>
    </xf>
    <xf numFmtId="2" fontId="6" fillId="0" borderId="0" xfId="0" applyNumberFormat="1" applyFont="1" applyAlignment="1">
      <alignment horizontal="center" vertical="center"/>
    </xf>
    <xf numFmtId="0" fontId="5" fillId="0" borderId="0" xfId="0" applyFont="1" applyAlignment="1">
      <alignment horizontal="center" vertical="center"/>
    </xf>
    <xf numFmtId="169" fontId="0" fillId="0" borderId="0" xfId="0" applyNumberFormat="1" applyAlignment="1">
      <alignment horizontal="center"/>
    </xf>
    <xf numFmtId="168" fontId="1" fillId="0" borderId="8" xfId="0" applyNumberFormat="1" applyFont="1" applyFill="1" applyBorder="1" applyAlignment="1">
      <alignment horizontal="center" vertical="center"/>
    </xf>
    <xf numFmtId="167" fontId="11" fillId="0" borderId="13" xfId="1" applyNumberFormat="1" applyFont="1" applyFill="1" applyBorder="1" applyAlignment="1">
      <alignment horizontal="right"/>
    </xf>
    <xf numFmtId="0" fontId="12" fillId="0" borderId="0" xfId="2"/>
    <xf numFmtId="0" fontId="13" fillId="0" borderId="0" xfId="2" applyFont="1"/>
    <xf numFmtId="0" fontId="12" fillId="3" borderId="0" xfId="2" applyFill="1"/>
    <xf numFmtId="0" fontId="12" fillId="0" borderId="0" xfId="2" applyAlignment="1">
      <alignment horizontal="right"/>
    </xf>
    <xf numFmtId="167" fontId="11" fillId="0" borderId="0" xfId="1" applyNumberFormat="1" applyFont="1" applyFill="1" applyBorder="1" applyAlignment="1">
      <alignment horizontal="right"/>
    </xf>
    <xf numFmtId="0" fontId="12" fillId="0" borderId="0" xfId="2" applyFill="1" applyAlignment="1"/>
    <xf numFmtId="0" fontId="12" fillId="0" borderId="0" xfId="2" applyAlignment="1">
      <alignment horizontal="center"/>
    </xf>
    <xf numFmtId="1" fontId="12" fillId="0" borderId="0" xfId="2" applyNumberFormat="1" applyFill="1" applyAlignment="1"/>
    <xf numFmtId="2" fontId="12" fillId="0" borderId="0" xfId="2" applyNumberFormat="1" applyFill="1" applyAlignment="1"/>
    <xf numFmtId="0" fontId="12" fillId="0" borderId="0" xfId="2" applyFill="1" applyBorder="1" applyAlignment="1"/>
    <xf numFmtId="0" fontId="11" fillId="0" borderId="0" xfId="1" applyFont="1" applyFill="1" applyBorder="1" applyAlignment="1"/>
    <xf numFmtId="0" fontId="11" fillId="0" borderId="13" xfId="1" applyNumberFormat="1" applyFont="1" applyFill="1" applyBorder="1" applyAlignment="1">
      <alignment horizontal="right"/>
    </xf>
    <xf numFmtId="0" fontId="12" fillId="0" borderId="0" xfId="2" applyFill="1" applyAlignment="1">
      <alignment horizontal="right"/>
    </xf>
    <xf numFmtId="1" fontId="13" fillId="0" borderId="0" xfId="2" applyNumberFormat="1" applyFont="1" applyFill="1" applyAlignment="1"/>
    <xf numFmtId="0" fontId="12" fillId="0" borderId="0" xfId="2" applyFill="1"/>
    <xf numFmtId="0" fontId="11" fillId="0" borderId="13" xfId="3" applyFont="1" applyFill="1" applyBorder="1" applyAlignment="1">
      <alignment wrapText="1"/>
    </xf>
    <xf numFmtId="0" fontId="11" fillId="0" borderId="0" xfId="1" applyFont="1" applyFill="1" applyBorder="1" applyAlignment="1">
      <alignment horizontal="left"/>
    </xf>
    <xf numFmtId="167" fontId="11" fillId="4" borderId="13" xfId="1" applyNumberFormat="1" applyFont="1" applyFill="1" applyBorder="1" applyAlignment="1">
      <alignment horizontal="left"/>
    </xf>
    <xf numFmtId="0" fontId="14" fillId="0" borderId="0" xfId="4"/>
    <xf numFmtId="0" fontId="0" fillId="0" borderId="1" xfId="0" applyBorder="1"/>
    <xf numFmtId="0" fontId="11" fillId="0" borderId="14" xfId="1" applyFont="1" applyFill="1" applyBorder="1" applyAlignment="1"/>
    <xf numFmtId="0" fontId="11" fillId="0" borderId="5" xfId="1" applyFont="1" applyFill="1" applyBorder="1" applyAlignment="1"/>
    <xf numFmtId="0" fontId="1" fillId="0" borderId="0" xfId="0" applyFont="1" applyBorder="1" applyAlignment="1">
      <alignment horizontal="center" vertical="center" wrapText="1" shrinkToFit="1"/>
    </xf>
    <xf numFmtId="0" fontId="1" fillId="0" borderId="10" xfId="0" applyFont="1" applyBorder="1" applyAlignment="1">
      <alignment horizontal="center" vertical="center" wrapText="1" shrinkToFit="1"/>
    </xf>
    <xf numFmtId="0" fontId="5" fillId="2" borderId="0" xfId="0" applyFont="1" applyFill="1" applyAlignment="1">
      <alignment horizontal="center"/>
    </xf>
    <xf numFmtId="0" fontId="0" fillId="0" borderId="0" xfId="0" applyAlignment="1">
      <alignment horizontal="center"/>
    </xf>
    <xf numFmtId="1" fontId="11" fillId="0" borderId="13" xfId="1" applyNumberFormat="1" applyFont="1" applyFill="1" applyBorder="1" applyAlignment="1">
      <alignment horizontal="right"/>
    </xf>
    <xf numFmtId="167" fontId="11" fillId="4" borderId="13" xfId="1" applyNumberFormat="1" applyFont="1" applyFill="1" applyBorder="1" applyAlignment="1">
      <alignment horizontal="right"/>
    </xf>
    <xf numFmtId="167" fontId="11" fillId="0" borderId="13" xfId="1" applyNumberFormat="1" applyFont="1" applyFill="1" applyBorder="1" applyAlignment="1">
      <alignment horizontal="left"/>
    </xf>
    <xf numFmtId="0" fontId="12" fillId="0" borderId="0" xfId="2" applyFill="1" applyAlignment="1">
      <alignment horizontal="center"/>
    </xf>
    <xf numFmtId="0" fontId="12" fillId="5" borderId="3" xfId="2" applyFill="1" applyBorder="1" applyAlignment="1">
      <alignment horizontal="center"/>
    </xf>
  </cellXfs>
  <cellStyles count="5">
    <cellStyle name="Hyperlink" xfId="4" builtinId="8"/>
    <cellStyle name="Normal" xfId="0" builtinId="0"/>
    <cellStyle name="Normal 2" xfId="2"/>
    <cellStyle name="Normal_Sheet1" xfId="1"/>
    <cellStyle name="Normal_Sheet2" xfId="3"/>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BiLinear_BiQuad!$C$52</c:f>
          <c:strCache>
            <c:ptCount val="1"/>
            <c:pt idx="0">
              <c:v>Table 86 - Chiller Capacity Temperature Adjustment - Air Cooled - Scroll</c:v>
            </c:pt>
          </c:strCache>
        </c:strRef>
      </c:tx>
      <c:layout>
        <c:manualLayout>
          <c:xMode val="edge"/>
          <c:yMode val="edge"/>
          <c:x val="0.10857150430489977"/>
          <c:y val="2.982107355864811E-2"/>
        </c:manualLayout>
      </c:layout>
      <c:overlay val="0"/>
      <c:spPr>
        <a:solidFill>
          <a:srgbClr val="FFFF00"/>
        </a:solid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view3D>
      <c:rotX val="45"/>
      <c:hPercent val="100"/>
      <c:rotY val="320"/>
      <c:depthPercent val="100"/>
      <c:rAngAx val="0"/>
      <c:perspective val="50"/>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2.1428586375967059E-2"/>
          <c:y val="0.10934393638170974"/>
          <c:w val="0.86571488958906917"/>
          <c:h val="0.83697813121272369"/>
        </c:manualLayout>
      </c:layout>
      <c:surface3DChart>
        <c:wireframe val="0"/>
        <c:ser>
          <c:idx val="0"/>
          <c:order val="0"/>
          <c:tx>
            <c:strRef>
              <c:f>BiLinear_BiQuad!$F$10</c:f>
              <c:strCache>
                <c:ptCount val="1"/>
                <c:pt idx="0">
                  <c:v>Dimensionless</c:v>
                </c:pt>
              </c:strCache>
            </c:strRef>
          </c:tx>
          <c:spPr>
            <a:solidFill>
              <a:srgbClr val="9999FF"/>
            </a:solidFill>
            <a:ln w="12700">
              <a:solidFill>
                <a:srgbClr val="000000"/>
              </a:solidFill>
              <a:prstDash val="solid"/>
            </a:ln>
            <a:sp3d prstMaterial="flat"/>
          </c:spPr>
          <c:cat>
            <c:strRef>
              <c:f>BiLinear_BiQuad!$G$9:$M$9</c:f>
              <c:strCache>
                <c:ptCount val="7"/>
                <c:pt idx="0">
                  <c:v>2</c:v>
                </c:pt>
                <c:pt idx="1">
                  <c:v>#VALUE!</c:v>
                </c:pt>
                <c:pt idx="2">
                  <c:v>#VALUE!</c:v>
                </c:pt>
                <c:pt idx="3">
                  <c:v>#VALUE!</c:v>
                </c:pt>
                <c:pt idx="4">
                  <c:v>#VALUE!</c:v>
                </c:pt>
                <c:pt idx="5">
                  <c:v>#VALUE!</c:v>
                </c:pt>
                <c:pt idx="6">
                  <c:v>Temperature</c:v>
                </c:pt>
              </c:strCache>
            </c:strRef>
          </c:cat>
          <c:val>
            <c:numRef>
              <c:f>BiLinear_BiQuad!$G$10:$M$10</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8E49-4FF8-A3A1-FDC11B969179}"/>
            </c:ext>
          </c:extLst>
        </c:ser>
        <c:ser>
          <c:idx val="1"/>
          <c:order val="1"/>
          <c:tx>
            <c:strRef>
              <c:f>BiLinear_BiQuad!$F$11</c:f>
              <c:strCache>
                <c:ptCount val="1"/>
                <c:pt idx="0">
                  <c:v>#VALUE!</c:v>
                </c:pt>
              </c:strCache>
            </c:strRef>
          </c:tx>
          <c:spPr>
            <a:solidFill>
              <a:srgbClr val="993366"/>
            </a:solidFill>
            <a:ln w="12700">
              <a:solidFill>
                <a:srgbClr val="000000"/>
              </a:solidFill>
              <a:prstDash val="solid"/>
            </a:ln>
            <a:sp3d prstMaterial="flat"/>
          </c:spPr>
          <c:cat>
            <c:strRef>
              <c:f>BiLinear_BiQuad!$G$9:$M$9</c:f>
              <c:strCache>
                <c:ptCount val="7"/>
                <c:pt idx="0">
                  <c:v>2</c:v>
                </c:pt>
                <c:pt idx="1">
                  <c:v>#VALUE!</c:v>
                </c:pt>
                <c:pt idx="2">
                  <c:v>#VALUE!</c:v>
                </c:pt>
                <c:pt idx="3">
                  <c:v>#VALUE!</c:v>
                </c:pt>
                <c:pt idx="4">
                  <c:v>#VALUE!</c:v>
                </c:pt>
                <c:pt idx="5">
                  <c:v>#VALUE!</c:v>
                </c:pt>
                <c:pt idx="6">
                  <c:v>Temperature</c:v>
                </c:pt>
              </c:strCache>
            </c:strRef>
          </c:cat>
          <c:val>
            <c:numRef>
              <c:f>BiLinear_BiQuad!$G$11:$M$11</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8E49-4FF8-A3A1-FDC11B969179}"/>
            </c:ext>
          </c:extLst>
        </c:ser>
        <c:ser>
          <c:idx val="2"/>
          <c:order val="2"/>
          <c:tx>
            <c:strRef>
              <c:f>BiLinear_BiQuad!$F$12</c:f>
              <c:strCache>
                <c:ptCount val="1"/>
                <c:pt idx="0">
                  <c:v>#VALUE!</c:v>
                </c:pt>
              </c:strCache>
            </c:strRef>
          </c:tx>
          <c:spPr>
            <a:solidFill>
              <a:srgbClr val="FFFFCC"/>
            </a:solidFill>
            <a:ln w="12700">
              <a:solidFill>
                <a:srgbClr val="000000"/>
              </a:solidFill>
              <a:prstDash val="solid"/>
            </a:ln>
            <a:sp3d prstMaterial="flat"/>
          </c:spPr>
          <c:cat>
            <c:strRef>
              <c:f>BiLinear_BiQuad!$G$9:$M$9</c:f>
              <c:strCache>
                <c:ptCount val="7"/>
                <c:pt idx="0">
                  <c:v>2</c:v>
                </c:pt>
                <c:pt idx="1">
                  <c:v>#VALUE!</c:v>
                </c:pt>
                <c:pt idx="2">
                  <c:v>#VALUE!</c:v>
                </c:pt>
                <c:pt idx="3">
                  <c:v>#VALUE!</c:v>
                </c:pt>
                <c:pt idx="4">
                  <c:v>#VALUE!</c:v>
                </c:pt>
                <c:pt idx="5">
                  <c:v>#VALUE!</c:v>
                </c:pt>
                <c:pt idx="6">
                  <c:v>Temperature</c:v>
                </c:pt>
              </c:strCache>
            </c:strRef>
          </c:cat>
          <c:val>
            <c:numRef>
              <c:f>BiLinear_BiQuad!$G$12:$M$12</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8E49-4FF8-A3A1-FDC11B969179}"/>
            </c:ext>
          </c:extLst>
        </c:ser>
        <c:ser>
          <c:idx val="3"/>
          <c:order val="3"/>
          <c:tx>
            <c:strRef>
              <c:f>BiLinear_BiQuad!$F$13</c:f>
              <c:strCache>
                <c:ptCount val="1"/>
                <c:pt idx="0">
                  <c:v>#VALUE!</c:v>
                </c:pt>
              </c:strCache>
            </c:strRef>
          </c:tx>
          <c:spPr>
            <a:solidFill>
              <a:srgbClr val="CCFFFF"/>
            </a:solidFill>
            <a:ln w="12700">
              <a:solidFill>
                <a:srgbClr val="000000"/>
              </a:solidFill>
              <a:prstDash val="solid"/>
            </a:ln>
            <a:sp3d prstMaterial="flat"/>
          </c:spPr>
          <c:cat>
            <c:strRef>
              <c:f>BiLinear_BiQuad!$G$9:$M$9</c:f>
              <c:strCache>
                <c:ptCount val="7"/>
                <c:pt idx="0">
                  <c:v>2</c:v>
                </c:pt>
                <c:pt idx="1">
                  <c:v>#VALUE!</c:v>
                </c:pt>
                <c:pt idx="2">
                  <c:v>#VALUE!</c:v>
                </c:pt>
                <c:pt idx="3">
                  <c:v>#VALUE!</c:v>
                </c:pt>
                <c:pt idx="4">
                  <c:v>#VALUE!</c:v>
                </c:pt>
                <c:pt idx="5">
                  <c:v>#VALUE!</c:v>
                </c:pt>
                <c:pt idx="6">
                  <c:v>Temperature</c:v>
                </c:pt>
              </c:strCache>
            </c:strRef>
          </c:cat>
          <c:val>
            <c:numRef>
              <c:f>BiLinear_BiQuad!$G$13:$M$13</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8E49-4FF8-A3A1-FDC11B969179}"/>
            </c:ext>
          </c:extLst>
        </c:ser>
        <c:ser>
          <c:idx val="4"/>
          <c:order val="4"/>
          <c:tx>
            <c:strRef>
              <c:f>BiLinear_BiQuad!$F$14</c:f>
              <c:strCache>
                <c:ptCount val="1"/>
                <c:pt idx="0">
                  <c:v>#VALUE!</c:v>
                </c:pt>
              </c:strCache>
            </c:strRef>
          </c:tx>
          <c:spPr>
            <a:solidFill>
              <a:srgbClr val="660066"/>
            </a:solidFill>
            <a:ln w="12700">
              <a:solidFill>
                <a:srgbClr val="000000"/>
              </a:solidFill>
              <a:prstDash val="solid"/>
            </a:ln>
            <a:sp3d prstMaterial="flat"/>
          </c:spPr>
          <c:cat>
            <c:strRef>
              <c:f>BiLinear_BiQuad!$G$9:$M$9</c:f>
              <c:strCache>
                <c:ptCount val="7"/>
                <c:pt idx="0">
                  <c:v>2</c:v>
                </c:pt>
                <c:pt idx="1">
                  <c:v>#VALUE!</c:v>
                </c:pt>
                <c:pt idx="2">
                  <c:v>#VALUE!</c:v>
                </c:pt>
                <c:pt idx="3">
                  <c:v>#VALUE!</c:v>
                </c:pt>
                <c:pt idx="4">
                  <c:v>#VALUE!</c:v>
                </c:pt>
                <c:pt idx="5">
                  <c:v>#VALUE!</c:v>
                </c:pt>
                <c:pt idx="6">
                  <c:v>Temperature</c:v>
                </c:pt>
              </c:strCache>
            </c:strRef>
          </c:cat>
          <c:val>
            <c:numRef>
              <c:f>BiLinear_BiQuad!$G$14:$M$14</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8E49-4FF8-A3A1-FDC11B969179}"/>
            </c:ext>
          </c:extLst>
        </c:ser>
        <c:ser>
          <c:idx val="5"/>
          <c:order val="5"/>
          <c:tx>
            <c:strRef>
              <c:f>BiLinear_BiQuad!$F$15</c:f>
              <c:strCache>
                <c:ptCount val="1"/>
                <c:pt idx="0">
                  <c:v>#VALUE!</c:v>
                </c:pt>
              </c:strCache>
            </c:strRef>
          </c:tx>
          <c:spPr>
            <a:solidFill>
              <a:srgbClr val="FF8080"/>
            </a:solidFill>
            <a:ln w="12700">
              <a:solidFill>
                <a:srgbClr val="000000"/>
              </a:solidFill>
              <a:prstDash val="solid"/>
            </a:ln>
            <a:sp3d prstMaterial="flat"/>
          </c:spPr>
          <c:cat>
            <c:strRef>
              <c:f>BiLinear_BiQuad!$G$9:$M$9</c:f>
              <c:strCache>
                <c:ptCount val="7"/>
                <c:pt idx="0">
                  <c:v>2</c:v>
                </c:pt>
                <c:pt idx="1">
                  <c:v>#VALUE!</c:v>
                </c:pt>
                <c:pt idx="2">
                  <c:v>#VALUE!</c:v>
                </c:pt>
                <c:pt idx="3">
                  <c:v>#VALUE!</c:v>
                </c:pt>
                <c:pt idx="4">
                  <c:v>#VALUE!</c:v>
                </c:pt>
                <c:pt idx="5">
                  <c:v>#VALUE!</c:v>
                </c:pt>
                <c:pt idx="6">
                  <c:v>Temperature</c:v>
                </c:pt>
              </c:strCache>
            </c:strRef>
          </c:cat>
          <c:val>
            <c:numRef>
              <c:f>BiLinear_BiQuad!$G$15:$M$15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8E49-4FF8-A3A1-FDC11B969179}"/>
            </c:ext>
          </c:extLst>
        </c:ser>
        <c:ser>
          <c:idx val="6"/>
          <c:order val="6"/>
          <c:tx>
            <c:strRef>
              <c:f>BiLinear_BiQuad!$F$16</c:f>
              <c:strCache>
                <c:ptCount val="1"/>
                <c:pt idx="0">
                  <c:v>0</c:v>
                </c:pt>
              </c:strCache>
            </c:strRef>
          </c:tx>
          <c:spPr>
            <a:solidFill>
              <a:srgbClr val="0066CC"/>
            </a:solidFill>
            <a:ln w="12700">
              <a:solidFill>
                <a:srgbClr val="000000"/>
              </a:solidFill>
              <a:prstDash val="solid"/>
            </a:ln>
            <a:sp3d prstMaterial="flat"/>
          </c:spPr>
          <c:cat>
            <c:strRef>
              <c:f>BiLinear_BiQuad!$G$9:$M$9</c:f>
              <c:strCache>
                <c:ptCount val="7"/>
                <c:pt idx="0">
                  <c:v>2</c:v>
                </c:pt>
                <c:pt idx="1">
                  <c:v>#VALUE!</c:v>
                </c:pt>
                <c:pt idx="2">
                  <c:v>#VALUE!</c:v>
                </c:pt>
                <c:pt idx="3">
                  <c:v>#VALUE!</c:v>
                </c:pt>
                <c:pt idx="4">
                  <c:v>#VALUE!</c:v>
                </c:pt>
                <c:pt idx="5">
                  <c:v>#VALUE!</c:v>
                </c:pt>
                <c:pt idx="6">
                  <c:v>Temperature</c:v>
                </c:pt>
              </c:strCache>
            </c:strRef>
          </c:cat>
          <c:val>
            <c:numRef>
              <c:f>BiLinear_BiQuad!$G$16:$M$16</c:f>
              <c:numCache>
                <c:formatCode>0.00</c:formatCode>
                <c:ptCount val="7"/>
                <c:pt idx="0">
                  <c:v>1.2190140591340324</c:v>
                </c:pt>
                <c:pt idx="1">
                  <c:v>0</c:v>
                </c:pt>
                <c:pt idx="2">
                  <c:v>0</c:v>
                </c:pt>
                <c:pt idx="3">
                  <c:v>0</c:v>
                </c:pt>
                <c:pt idx="4">
                  <c:v>0</c:v>
                </c:pt>
                <c:pt idx="5">
                  <c:v>0</c:v>
                </c:pt>
                <c:pt idx="6">
                  <c:v>0</c:v>
                </c:pt>
              </c:numCache>
            </c:numRef>
          </c:val>
          <c:extLst>
            <c:ext xmlns:c16="http://schemas.microsoft.com/office/drawing/2014/chart" uri="{C3380CC4-5D6E-409C-BE32-E72D297353CC}">
              <c16:uniqueId val="{00000006-8E49-4FF8-A3A1-FDC11B969179}"/>
            </c:ext>
          </c:extLst>
        </c:ser>
        <c:bandFmts>
          <c:bandFmt>
            <c:idx val="0"/>
            <c:spPr>
              <a:solidFill>
                <a:srgbClr val="9999FF"/>
              </a:solidFill>
              <a:ln w="12700">
                <a:solidFill>
                  <a:srgbClr val="000000"/>
                </a:solidFill>
                <a:prstDash val="solid"/>
              </a:ln>
              <a:sp3d prstMaterial="flat"/>
            </c:spPr>
          </c:bandFmt>
          <c:bandFmt>
            <c:idx val="1"/>
            <c:spPr>
              <a:solidFill>
                <a:srgbClr val="993366"/>
              </a:solidFill>
              <a:ln w="12700">
                <a:solidFill>
                  <a:srgbClr val="000000"/>
                </a:solidFill>
                <a:prstDash val="solid"/>
              </a:ln>
              <a:sp3d prstMaterial="flat"/>
            </c:spPr>
          </c:bandFmt>
          <c:bandFmt>
            <c:idx val="2"/>
            <c:spPr>
              <a:solidFill>
                <a:srgbClr val="FFFFCC"/>
              </a:solidFill>
              <a:ln w="12700">
                <a:solidFill>
                  <a:srgbClr val="000000"/>
                </a:solidFill>
                <a:prstDash val="solid"/>
              </a:ln>
              <a:sp3d prstMaterial="flat"/>
            </c:spPr>
          </c:bandFmt>
          <c:bandFmt>
            <c:idx val="3"/>
            <c:spPr>
              <a:solidFill>
                <a:srgbClr val="CCFFFF"/>
              </a:solidFill>
              <a:ln w="12700">
                <a:solidFill>
                  <a:srgbClr val="000000"/>
                </a:solidFill>
                <a:prstDash val="solid"/>
              </a:ln>
              <a:sp3d prstMaterial="flat"/>
            </c:spPr>
          </c:bandFmt>
          <c:bandFmt>
            <c:idx val="4"/>
            <c:spPr>
              <a:solidFill>
                <a:srgbClr val="660066"/>
              </a:solidFill>
              <a:ln w="12700">
                <a:solidFill>
                  <a:srgbClr val="000000"/>
                </a:solidFill>
                <a:prstDash val="solid"/>
              </a:ln>
              <a:sp3d prstMaterial="flat"/>
            </c:spPr>
          </c:bandFmt>
          <c:bandFmt>
            <c:idx val="5"/>
            <c:spPr>
              <a:solidFill>
                <a:srgbClr val="FF8080"/>
              </a:solidFill>
              <a:ln w="12700">
                <a:solidFill>
                  <a:srgbClr val="000000"/>
                </a:solidFill>
                <a:prstDash val="solid"/>
              </a:ln>
              <a:sp3d prstMaterial="flat"/>
            </c:spPr>
          </c:bandFmt>
          <c:bandFmt>
            <c:idx val="6"/>
            <c:spPr>
              <a:solidFill>
                <a:srgbClr val="0066CC"/>
              </a:solidFill>
              <a:ln w="12700">
                <a:solidFill>
                  <a:srgbClr val="000000"/>
                </a:solidFill>
                <a:prstDash val="solid"/>
              </a:ln>
              <a:sp3d prstMaterial="flat"/>
            </c:spPr>
          </c:bandFmt>
          <c:bandFmt>
            <c:idx val="7"/>
            <c:spPr>
              <a:solidFill>
                <a:srgbClr val="CCCCFF"/>
              </a:solidFill>
              <a:ln w="12700">
                <a:solidFill>
                  <a:srgbClr val="000000"/>
                </a:solidFill>
                <a:prstDash val="solid"/>
              </a:ln>
              <a:sp3d prstMaterial="flat"/>
            </c:spPr>
          </c:bandFmt>
        </c:bandFmts>
        <c:axId val="100790656"/>
        <c:axId val="100792576"/>
        <c:axId val="100782080"/>
      </c:surface3DChart>
      <c:catAx>
        <c:axId val="100790656"/>
        <c:scaling>
          <c:orientation val="minMax"/>
        </c:scaling>
        <c:delete val="0"/>
        <c:axPos val="b"/>
        <c:title>
          <c:tx>
            <c:strRef>
              <c:f>BiLinear_BiQuad!$M$5</c:f>
              <c:strCache>
                <c:ptCount val="1"/>
                <c:pt idx="0">
                  <c:v>Tcw,l</c:v>
                </c:pt>
              </c:strCache>
            </c:strRef>
          </c:tx>
          <c:layout>
            <c:manualLayout>
              <c:xMode val="edge"/>
              <c:yMode val="edge"/>
              <c:x val="0.58142897700123952"/>
              <c:y val="0.84294234592445327"/>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00792576"/>
        <c:crosses val="autoZero"/>
        <c:auto val="1"/>
        <c:lblAlgn val="ctr"/>
        <c:lblOffset val="100"/>
        <c:tickLblSkip val="2"/>
        <c:tickMarkSkip val="1"/>
        <c:noMultiLvlLbl val="1"/>
      </c:catAx>
      <c:valAx>
        <c:axId val="100792576"/>
        <c:scaling>
          <c:orientation val="minMax"/>
        </c:scaling>
        <c:delete val="0"/>
        <c:axPos val="r"/>
        <c:majorGridlines>
          <c:spPr>
            <a:ln w="3175">
              <a:solidFill>
                <a:srgbClr val="000000"/>
              </a:solidFill>
              <a:prstDash val="solid"/>
            </a:ln>
          </c:spPr>
        </c:majorGridlines>
        <c:title>
          <c:tx>
            <c:strRef>
              <c:f>BiLinear_BiQuad!$L$5</c:f>
              <c:strCache>
                <c:ptCount val="1"/>
                <c:pt idx="0">
                  <c:v>OtherCAPFTemp</c:v>
                </c:pt>
              </c:strCache>
            </c:strRef>
          </c:tx>
          <c:layout>
            <c:manualLayout>
              <c:xMode val="edge"/>
              <c:yMode val="edge"/>
              <c:x val="0.7614291025593628"/>
              <c:y val="0.49900596421471172"/>
            </c:manualLayout>
          </c:layout>
          <c:overlay val="0"/>
          <c:spPr>
            <a:noFill/>
            <a:ln w="25400">
              <a:noFill/>
            </a:ln>
          </c:spPr>
          <c:txPr>
            <a:bodyPr rot="0" vert="horz"/>
            <a:lstStyle/>
            <a:p>
              <a:pPr algn="ctr">
                <a:defRPr sz="800" b="1" i="0" u="none" strike="noStrike" baseline="0">
                  <a:solidFill>
                    <a:srgbClr val="000000"/>
                  </a:solidFill>
                  <a:latin typeface="Arial"/>
                  <a:ea typeface="Arial"/>
                  <a:cs typeface="Arial"/>
                </a:defRPr>
              </a:pPr>
              <a:endParaRPr lang="en-US"/>
            </a:p>
          </c:txPr>
        </c:title>
        <c:numFmt formatCode="0.00" sourceLinked="1"/>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00790656"/>
        <c:crosses val="max"/>
        <c:crossBetween val="between"/>
      </c:valAx>
      <c:serAx>
        <c:axId val="100782080"/>
        <c:scaling>
          <c:orientation val="minMax"/>
        </c:scaling>
        <c:delete val="0"/>
        <c:axPos val="b"/>
        <c:title>
          <c:tx>
            <c:strRef>
              <c:f>BiLinear_BiQuad!$N$5</c:f>
              <c:strCache>
                <c:ptCount val="1"/>
                <c:pt idx="0">
                  <c:v>Tcond,e</c:v>
                </c:pt>
              </c:strCache>
            </c:strRef>
          </c:tx>
          <c:layout>
            <c:manualLayout>
              <c:xMode val="edge"/>
              <c:yMode val="edge"/>
              <c:x val="0.24285731226096"/>
              <c:y val="0.82703777335984097"/>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 sourceLinked="1"/>
        <c:majorTickMark val="out"/>
        <c:minorTickMark val="none"/>
        <c:tickLblPos val="low"/>
        <c:spPr>
          <a:ln w="3175">
            <a:solidFill>
              <a:srgbClr val="000000"/>
            </a:solidFill>
            <a:prstDash val="solid"/>
          </a:ln>
        </c:spPr>
        <c:txPr>
          <a:bodyPr rot="0" vert="horz"/>
          <a:lstStyle/>
          <a:p>
            <a:pPr>
              <a:defRPr sz="925" b="0" i="0" u="none" strike="noStrike" baseline="0">
                <a:solidFill>
                  <a:srgbClr val="000000"/>
                </a:solidFill>
                <a:latin typeface="Arial"/>
                <a:ea typeface="Arial"/>
                <a:cs typeface="Arial"/>
              </a:defRPr>
            </a:pPr>
            <a:endParaRPr lang="en-US"/>
          </a:p>
        </c:txPr>
        <c:crossAx val="100792576"/>
        <c:crosses val="autoZero"/>
        <c:tickLblSkip val="1"/>
        <c:tickMarkSkip val="1"/>
      </c:ser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Linear_Quad_Cubic!$C$43</c:f>
          <c:strCache>
            <c:ptCount val="1"/>
            <c:pt idx="0">
              <c:v>Cooling System Efficiency Part Load Adjustment - Air Source Other</c:v>
            </c:pt>
          </c:strCache>
        </c:strRef>
      </c:tx>
      <c:layout>
        <c:manualLayout>
          <c:xMode val="edge"/>
          <c:yMode val="edge"/>
          <c:x val="0.15420584204305704"/>
          <c:y val="3.0701820136504885E-2"/>
        </c:manualLayout>
      </c:layout>
      <c:overlay val="0"/>
      <c:spPr>
        <a:solidFill>
          <a:srgbClr val="FFFF00"/>
        </a:solidFill>
        <a:ln w="25400">
          <a:noFill/>
        </a:ln>
      </c:spPr>
      <c:txPr>
        <a:bodyPr/>
        <a:lstStyle/>
        <a:p>
          <a:pPr>
            <a:defRPr sz="95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214955119127116"/>
          <c:y val="0.14473715207209445"/>
          <c:w val="0.83333460093975265"/>
          <c:h val="0.75438758049697718"/>
        </c:manualLayout>
      </c:layout>
      <c:scatterChart>
        <c:scatterStyle val="smoothMarker"/>
        <c:varyColors val="0"/>
        <c:ser>
          <c:idx val="0"/>
          <c:order val="0"/>
          <c:spPr>
            <a:ln w="38100">
              <a:solidFill>
                <a:srgbClr val="000080"/>
              </a:solidFill>
              <a:prstDash val="solid"/>
            </a:ln>
          </c:spPr>
          <c:marker>
            <c:symbol val="none"/>
          </c:marker>
          <c:xVal>
            <c:numRef>
              <c:f>Linear_Quad_Cubic!$G$9:$M$9</c:f>
              <c:numCache>
                <c:formatCode>0.00</c:formatCode>
                <c:ptCount val="7"/>
                <c:pt idx="0">
                  <c:v>#N/A</c:v>
                </c:pt>
                <c:pt idx="1">
                  <c:v>#N/A</c:v>
                </c:pt>
                <c:pt idx="2">
                  <c:v>#N/A</c:v>
                </c:pt>
                <c:pt idx="3">
                  <c:v>#N/A</c:v>
                </c:pt>
                <c:pt idx="4">
                  <c:v>#N/A</c:v>
                </c:pt>
                <c:pt idx="5">
                  <c:v>#N/A</c:v>
                </c:pt>
                <c:pt idx="6">
                  <c:v>#N/A</c:v>
                </c:pt>
              </c:numCache>
            </c:numRef>
          </c:xVal>
          <c:yVal>
            <c:numRef>
              <c:f>Linear_Quad_Cubic!$G$10:$M$10</c:f>
              <c:numCache>
                <c:formatCode>0.00</c:formatCode>
                <c:ptCount val="7"/>
                <c:pt idx="0">
                  <c:v>#N/A</c:v>
                </c:pt>
                <c:pt idx="1">
                  <c:v>#N/A</c:v>
                </c:pt>
                <c:pt idx="2">
                  <c:v>#N/A</c:v>
                </c:pt>
                <c:pt idx="3">
                  <c:v>#N/A</c:v>
                </c:pt>
                <c:pt idx="4">
                  <c:v>#N/A</c:v>
                </c:pt>
                <c:pt idx="5">
                  <c:v>#N/A</c:v>
                </c:pt>
                <c:pt idx="6">
                  <c:v>#N/A</c:v>
                </c:pt>
              </c:numCache>
            </c:numRef>
          </c:yVal>
          <c:smooth val="1"/>
          <c:extLst>
            <c:ext xmlns:c16="http://schemas.microsoft.com/office/drawing/2014/chart" uri="{C3380CC4-5D6E-409C-BE32-E72D297353CC}">
              <c16:uniqueId val="{00000000-59D8-4B37-BE87-AE9C8A53F6C3}"/>
            </c:ext>
          </c:extLst>
        </c:ser>
        <c:dLbls>
          <c:showLegendKey val="0"/>
          <c:showVal val="0"/>
          <c:showCatName val="0"/>
          <c:showSerName val="0"/>
          <c:showPercent val="0"/>
          <c:showBubbleSize val="0"/>
        </c:dLbls>
        <c:axId val="34057600"/>
        <c:axId val="34063872"/>
      </c:scatterChart>
      <c:valAx>
        <c:axId val="34057600"/>
        <c:scaling>
          <c:orientation val="minMax"/>
        </c:scaling>
        <c:delete val="0"/>
        <c:axPos val="b"/>
        <c:title>
          <c:tx>
            <c:strRef>
              <c:f>Linear_Quad_Cubic!$M$5</c:f>
              <c:strCache>
                <c:ptCount val="1"/>
                <c:pt idx="0">
                  <c:v>PLR</c:v>
                </c:pt>
              </c:strCache>
            </c:strRef>
          </c:tx>
          <c:layout>
            <c:manualLayout>
              <c:xMode val="edge"/>
              <c:yMode val="edge"/>
              <c:x val="0.49377022149140487"/>
              <c:y val="0.921054604095146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063872"/>
        <c:crosses val="autoZero"/>
        <c:crossBetween val="midCat"/>
      </c:valAx>
      <c:valAx>
        <c:axId val="34063872"/>
        <c:scaling>
          <c:orientation val="minMax"/>
        </c:scaling>
        <c:delete val="0"/>
        <c:axPos val="l"/>
        <c:majorGridlines>
          <c:spPr>
            <a:ln w="3175">
              <a:solidFill>
                <a:srgbClr val="000000"/>
              </a:solidFill>
              <a:prstDash val="solid"/>
            </a:ln>
          </c:spPr>
        </c:majorGridlines>
        <c:title>
          <c:tx>
            <c:strRef>
              <c:f>Linear_Quad_Cubic!$L$5</c:f>
              <c:strCache>
                <c:ptCount val="1"/>
                <c:pt idx="0">
                  <c:v>#N/A</c:v>
                </c:pt>
              </c:strCache>
            </c:strRef>
          </c:tx>
          <c:layout>
            <c:manualLayout>
              <c:xMode val="edge"/>
              <c:yMode val="edge"/>
              <c:x val="2.4922156289786997E-2"/>
              <c:y val="0.44736937913192831"/>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40576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13</xdr:col>
      <xdr:colOff>400050</xdr:colOff>
      <xdr:row>96</xdr:row>
      <xdr:rowOff>95250</xdr:rowOff>
    </xdr:to>
    <xdr:sp macro="" textlink="">
      <xdr:nvSpPr>
        <xdr:cNvPr id="4" name="TextBox 3"/>
        <xdr:cNvSpPr txBox="1"/>
      </xdr:nvSpPr>
      <xdr:spPr>
        <a:xfrm>
          <a:off x="0" y="0"/>
          <a:ext cx="8839200" cy="18383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solidFill>
                <a:schemeClr val="dk1"/>
              </a:solidFill>
              <a:effectLst/>
              <a:latin typeface="+mn-lt"/>
              <a:ea typeface="+mn-ea"/>
              <a:cs typeface="+mn-cs"/>
            </a:rPr>
            <a:t>This auxiliary tool generates HVAC performance curves in EnergyPlus curve object format.  For each set of performance data entered, Capacity and EIR performance curves are generated, and these curves are generated either as a function of temperature(s) or flow fraction.  The Capacity and EIR of Cooling DX Coils as a function of temperatures require only Biquadratic curve whereas Capacity and EIR of Heating DX Coils may use Biquadratic, Cubic and Quadratic curves. The selection of either of these curves is dependent on availability of performance data. The Capacity and EIR as a function of flow fraction allows either Cubic or Quadratic curve type. The curve types allowed are:</a:t>
          </a:r>
        </a:p>
        <a:p>
          <a:endParaRPr lang="en-US" sz="1100"/>
        </a:p>
        <a:p>
          <a:pPr eaLnBrk="1" fontAlgn="auto" latinLnBrk="0" hangingPunct="1"/>
          <a:r>
            <a:rPr lang="en-US" sz="1100">
              <a:solidFill>
                <a:schemeClr val="dk1"/>
              </a:solidFill>
              <a:effectLst/>
              <a:latin typeface="+mn-lt"/>
              <a:ea typeface="+mn-ea"/>
              <a:cs typeface="+mn-cs"/>
            </a:rPr>
            <a:t>    Cooling Capacity as a Function of Temperatures: Biquadratic Curve</a:t>
          </a:r>
          <a:endParaRPr lang="en-US">
            <a:effectLst/>
          </a:endParaRPr>
        </a:p>
        <a:p>
          <a:r>
            <a:rPr lang="en-US" sz="1100">
              <a:solidFill>
                <a:schemeClr val="dk1"/>
              </a:solidFill>
              <a:effectLst/>
              <a:latin typeface="+mn-lt"/>
              <a:ea typeface="+mn-ea"/>
              <a:cs typeface="+mn-cs"/>
            </a:rPr>
            <a:t>       cCapacity = a0 + a1*X + a2*X^2 + a3*Y + a4*Y^2 + a5*X*Y</a:t>
          </a:r>
          <a:endParaRPr lang="en-US">
            <a:effectLst/>
          </a:endParaRPr>
        </a:p>
        <a:p>
          <a:r>
            <a:rPr lang="en-US" sz="1100">
              <a:solidFill>
                <a:schemeClr val="dk1"/>
              </a:solidFill>
              <a:effectLst/>
              <a:latin typeface="+mn-lt"/>
              <a:ea typeface="+mn-ea"/>
              <a:cs typeface="+mn-cs"/>
            </a:rPr>
            <a:t>    Heating Capacity as a Function of Temperatures: Biquadratic curve</a:t>
          </a:r>
          <a:endParaRPr lang="en-US">
            <a:effectLst/>
          </a:endParaRPr>
        </a:p>
        <a:p>
          <a:r>
            <a:rPr lang="en-US" sz="1100">
              <a:solidFill>
                <a:schemeClr val="dk1"/>
              </a:solidFill>
              <a:effectLst/>
              <a:latin typeface="+mn-lt"/>
              <a:ea typeface="+mn-ea"/>
              <a:cs typeface="+mn-cs"/>
            </a:rPr>
            <a:t>       hCapacity = a0 + a1*X + a2*X^2 + a3*Y + a4*Y^2 + a5*X*Y</a:t>
          </a:r>
          <a:endParaRPr lang="en-US">
            <a:effectLst/>
          </a:endParaRPr>
        </a:p>
        <a:p>
          <a:pPr eaLnBrk="1" fontAlgn="auto" latinLnBrk="0" hangingPunct="1"/>
          <a:r>
            <a:rPr lang="en-US" sz="1100">
              <a:solidFill>
                <a:schemeClr val="dk1"/>
              </a:solidFill>
              <a:effectLst/>
              <a:latin typeface="+mn-lt"/>
              <a:ea typeface="+mn-ea"/>
              <a:cs typeface="+mn-cs"/>
            </a:rPr>
            <a:t>    Heating Capacity as a Function of Temperatures: Cubic Curve</a:t>
          </a:r>
          <a:endParaRPr lang="en-US">
            <a:effectLst/>
          </a:endParaRPr>
        </a:p>
        <a:p>
          <a:pPr eaLnBrk="1" fontAlgn="auto" latinLnBrk="0" hangingPunct="1"/>
          <a:r>
            <a:rPr lang="en-US" sz="1100">
              <a:solidFill>
                <a:schemeClr val="dk1"/>
              </a:solidFill>
              <a:effectLst/>
              <a:latin typeface="+mn-lt"/>
              <a:ea typeface="+mn-ea"/>
              <a:cs typeface="+mn-cs"/>
            </a:rPr>
            <a:t>       hCapacity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Biquadratic Curve</a:t>
          </a:r>
          <a:endParaRPr lang="en-US">
            <a:effectLst/>
          </a:endParaRPr>
        </a:p>
        <a:p>
          <a:r>
            <a:rPr lang="en-US" sz="1100">
              <a:solidFill>
                <a:schemeClr val="dk1"/>
              </a:solidFill>
              <a:effectLst/>
              <a:latin typeface="+mn-lt"/>
              <a:ea typeface="+mn-ea"/>
              <a:cs typeface="+mn-cs"/>
            </a:rPr>
            <a:t>       EIR = a0 + a1*X + a2*X^2 + a3*Y + a4*Y^2 + a5*X*Y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Temperatures: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Capacity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Cubic Curve</a:t>
          </a:r>
          <a:endParaRPr lang="en-US">
            <a:effectLst/>
          </a:endParaRPr>
        </a:p>
        <a:p>
          <a:r>
            <a:rPr lang="en-US" sz="1100">
              <a:solidFill>
                <a:schemeClr val="dk1"/>
              </a:solidFill>
              <a:effectLst/>
              <a:latin typeface="+mn-lt"/>
              <a:ea typeface="+mn-ea"/>
              <a:cs typeface="+mn-cs"/>
            </a:rPr>
            <a:t>       EIR = a0 + a1*X + a2*X^2 + a3*x^3</a:t>
          </a:r>
          <a:endParaRPr lang="en-US">
            <a:effectLst/>
          </a:endParaRPr>
        </a:p>
        <a:p>
          <a:pPr eaLnBrk="1" fontAlgn="auto" latinLnBrk="0" hangingPunct="1"/>
          <a:r>
            <a:rPr lang="en-US" sz="1100">
              <a:solidFill>
                <a:schemeClr val="dk1"/>
              </a:solidFill>
              <a:effectLst/>
              <a:latin typeface="+mn-lt"/>
              <a:ea typeface="+mn-ea"/>
              <a:cs typeface="+mn-cs"/>
            </a:rPr>
            <a:t>    Energy Input Ratio (EIR) as a Function of Flow Fraction: Quadratic Curve</a:t>
          </a:r>
          <a:endParaRPr lang="en-US">
            <a:effectLst/>
          </a:endParaRPr>
        </a:p>
        <a:p>
          <a:r>
            <a:rPr lang="en-US" sz="1100">
              <a:solidFill>
                <a:schemeClr val="dk1"/>
              </a:solidFill>
              <a:effectLst/>
              <a:latin typeface="+mn-lt"/>
              <a:ea typeface="+mn-ea"/>
              <a:cs typeface="+mn-cs"/>
            </a:rPr>
            <a:t>       EIR = a0 + a1*X + a2*X^2    </a:t>
          </a:r>
          <a:endParaRPr lang="en-US">
            <a:effectLst/>
          </a:endParaRPr>
        </a:p>
        <a:p>
          <a:endParaRPr lang="en-US" sz="1100"/>
        </a:p>
        <a:p>
          <a:r>
            <a:rPr lang="en-US" sz="1100">
              <a:solidFill>
                <a:schemeClr val="dk1"/>
              </a:solidFill>
              <a:effectLst/>
              <a:latin typeface="+mn-lt"/>
              <a:ea typeface="+mn-ea"/>
              <a:cs typeface="+mn-cs"/>
            </a:rPr>
            <a:t>These performance curves as a function of temperatures are generated for a given set of input data at a given speed. The curves as a function of flow fraction are generated at the rated temperature conditions.  The rated test condition is the AHRI standard rated test condition.  The AHRI standard test condition may vary by the equipment type.   For multiple speeds or multiple stage DX Coils, different curve sets can be generated by entering a different set of data for each speed or stage at a time.  This tool can generate the following four curve types: (1) Capacity as a function of temperatures, (2) Capacity as a function of flow fraction, (3) EIR as a function of temperatures, and (4) EIR as a function of flow fraction.  The tool automatically populates the labels for each data inputs variable when users select the Coil Type, Independent Variables, Curve Type, and Units as shown on INPU tab. The labels shown in the</a:t>
          </a:r>
          <a:r>
            <a:rPr lang="en-US" sz="1100" baseline="0">
              <a:solidFill>
                <a:schemeClr val="dk1"/>
              </a:solidFill>
              <a:effectLst/>
              <a:latin typeface="+mn-lt"/>
              <a:ea typeface="+mn-ea"/>
              <a:cs typeface="+mn-cs"/>
            </a:rPr>
            <a:t> INPU tab a</a:t>
          </a:r>
          <a:r>
            <a:rPr lang="en-US" sz="1100">
              <a:solidFill>
                <a:schemeClr val="dk1"/>
              </a:solidFill>
              <a:effectLst/>
              <a:latin typeface="+mn-lt"/>
              <a:ea typeface="+mn-ea"/>
              <a:cs typeface="+mn-cs"/>
            </a:rPr>
            <a:t>re selected for DX Coil to generate capacity and EIR biquadratic curves as function of temperatures. The tool can be used for the DX coil types: Coil:Cooing:DX:SingleSpeed, Coil:Heating:DX:SingleSpeed, Coil:Cooing:DX:TwoSpeed (high and low speed) , CoilPerformance:DX:Cooling (each stage), and any HVAC equipment that use Biquadratic, Cubic or Quadratic curves. To add this flexibility generic input data labels can be populated by selecting "Other" for DX Coil Type input field, located in Cell B3 in the INPU tab.</a:t>
          </a:r>
        </a:p>
        <a:p>
          <a:endParaRPr lang="en-US" sz="1100"/>
        </a:p>
        <a:p>
          <a:r>
            <a:rPr lang="en-US" sz="1100" b="1"/>
            <a:t>INPUTS:</a:t>
          </a:r>
        </a:p>
        <a:p>
          <a:r>
            <a:rPr lang="en-US" sz="1100">
              <a:solidFill>
                <a:schemeClr val="dk1"/>
              </a:solidFill>
              <a:effectLst/>
              <a:latin typeface="+mn-lt"/>
              <a:ea typeface="+mn-ea"/>
              <a:cs typeface="+mn-cs"/>
            </a:rPr>
            <a:t>First step in curve generation is to select appropriate parameters from the dropdown menu.  These inputs define the DX Coil Type, Curve Type, Independent Variable and the Units type. The choices available for each input parameters are described as follows:</a:t>
          </a:r>
        </a:p>
        <a:p>
          <a:r>
            <a:rPr lang="en-US" sz="1100"/>
            <a:t> </a:t>
          </a:r>
        </a:p>
        <a:p>
          <a:r>
            <a:rPr lang="en-US" sz="1100"/>
            <a:t>   DX Coil Type:  the capacity and EIR curves are generated either for </a:t>
          </a:r>
          <a:r>
            <a:rPr lang="en-US" sz="1100" baseline="0">
              <a:solidFill>
                <a:schemeClr val="dk1"/>
              </a:solidFill>
              <a:effectLst/>
              <a:latin typeface="+mn-lt"/>
              <a:ea typeface="+mn-ea"/>
              <a:cs typeface="+mn-cs"/>
            </a:rPr>
            <a:t>cooling, </a:t>
          </a:r>
          <a:r>
            <a:rPr lang="en-US" sz="1100"/>
            <a:t>heating</a:t>
          </a:r>
          <a:r>
            <a:rPr lang="en-US" sz="1100" baseline="0"/>
            <a:t> DX coils or Other.  Other provides a generic data entry </a:t>
          </a:r>
        </a:p>
        <a:p>
          <a:r>
            <a:rPr lang="en-US" sz="1100" baseline="0"/>
            <a:t>   labels than can used for other than DX Coils (e.g. Chillers) which may use the Curve Types listed below. </a:t>
          </a:r>
        </a:p>
        <a:p>
          <a:r>
            <a:rPr lang="en-US" sz="1100"/>
            <a:t>           (1) Cooling</a:t>
          </a:r>
        </a:p>
        <a:p>
          <a:r>
            <a:rPr lang="en-US" sz="1100"/>
            <a:t>           (2) Heating</a:t>
          </a:r>
        </a:p>
        <a:p>
          <a:r>
            <a:rPr lang="en-US" sz="1100"/>
            <a:t>           (3) Other</a:t>
          </a:r>
        </a:p>
        <a:p>
          <a:pPr marL="0" marR="0" indent="0" defTabSz="914400" eaLnBrk="1" fontAlgn="auto" latinLnBrk="0" hangingPunct="1">
            <a:lnSpc>
              <a:spcPct val="100000"/>
            </a:lnSpc>
            <a:spcBef>
              <a:spcPts val="0"/>
            </a:spcBef>
            <a:spcAft>
              <a:spcPts val="0"/>
            </a:spcAft>
            <a:buClrTx/>
            <a:buSzTx/>
            <a:buFontTx/>
            <a:buNone/>
            <a:tabLst/>
            <a:defRPr/>
          </a:pPr>
          <a:r>
            <a:rPr lang="en-US" sz="1100"/>
            <a:t>   Independent Variables:  the </a:t>
          </a:r>
          <a:r>
            <a:rPr lang="en-US" sz="1100">
              <a:solidFill>
                <a:schemeClr val="dk1"/>
              </a:solidFill>
              <a:effectLst/>
              <a:latin typeface="+mn-lt"/>
              <a:ea typeface="+mn-ea"/>
              <a:cs typeface="+mn-cs"/>
            </a:rPr>
            <a:t>curves are generated as a function</a:t>
          </a:r>
          <a:r>
            <a:rPr lang="en-US" sz="1100" baseline="0">
              <a:solidFill>
                <a:schemeClr val="dk1"/>
              </a:solidFill>
              <a:effectLst/>
              <a:latin typeface="+mn-lt"/>
              <a:ea typeface="+mn-ea"/>
              <a:cs typeface="+mn-cs"/>
            </a:rPr>
            <a:t> of temperatures or flow (flow fraction)</a:t>
          </a:r>
          <a:endParaRPr lang="en-US">
            <a:effectLst/>
          </a:endParaRPr>
        </a:p>
        <a:p>
          <a:r>
            <a:rPr lang="en-US" sz="1100"/>
            <a:t>           (1) Temperature</a:t>
          </a:r>
        </a:p>
        <a:p>
          <a:r>
            <a:rPr lang="en-US" sz="1100"/>
            <a:t>           (2) Flow</a:t>
          </a:r>
        </a:p>
        <a:p>
          <a:pPr marL="0" marR="0" indent="0" defTabSz="914400" eaLnBrk="1" fontAlgn="auto" latinLnBrk="0" hangingPunct="1">
            <a:lnSpc>
              <a:spcPct val="100000"/>
            </a:lnSpc>
            <a:spcBef>
              <a:spcPts val="0"/>
            </a:spcBef>
            <a:spcAft>
              <a:spcPts val="0"/>
            </a:spcAft>
            <a:buClrTx/>
            <a:buSzTx/>
            <a:buFontTx/>
            <a:buNone/>
            <a:tabLst/>
            <a:defRPr/>
          </a:pPr>
          <a:r>
            <a:rPr lang="en-US" sz="1100"/>
            <a:t>   Curve Types:  for a given set of data only one of these three curve types can be selected</a:t>
          </a:r>
        </a:p>
        <a:p>
          <a:pPr marL="0" marR="0" indent="0" defTabSz="914400" eaLnBrk="1" fontAlgn="auto" latinLnBrk="0" hangingPunct="1">
            <a:lnSpc>
              <a:spcPct val="100000"/>
            </a:lnSpc>
            <a:spcBef>
              <a:spcPts val="0"/>
            </a:spcBef>
            <a:spcAft>
              <a:spcPts val="0"/>
            </a:spcAft>
            <a:buClrTx/>
            <a:buSzTx/>
            <a:buFontTx/>
            <a:buNone/>
            <a:tabLst/>
            <a:defRPr/>
          </a:pPr>
          <a:r>
            <a:rPr lang="en-US" sz="1100"/>
            <a:t>           (1) Biquadratic</a:t>
          </a:r>
        </a:p>
        <a:p>
          <a:r>
            <a:rPr lang="en-US" sz="1100"/>
            <a:t>           (2) Cubic</a:t>
          </a:r>
        </a:p>
        <a:p>
          <a:r>
            <a:rPr lang="en-US" sz="1100"/>
            <a:t>           (3) Quadratic  </a:t>
          </a:r>
        </a:p>
        <a:p>
          <a:r>
            <a:rPr lang="en-US" sz="1100"/>
            <a:t>   Units: the input data can be either IP or SI </a:t>
          </a:r>
        </a:p>
        <a:p>
          <a:r>
            <a:rPr lang="en-US" sz="1100"/>
            <a:t>           (1) IP</a:t>
          </a:r>
        </a:p>
        <a:p>
          <a:r>
            <a:rPr lang="en-US" sz="1100"/>
            <a:t>           (2) SI</a:t>
          </a:r>
        </a:p>
        <a:p>
          <a:endParaRPr lang="en-US" sz="1100"/>
        </a:p>
        <a:p>
          <a:r>
            <a:rPr lang="en-US" sz="1100">
              <a:solidFill>
                <a:schemeClr val="dk1"/>
              </a:solidFill>
              <a:effectLst/>
              <a:latin typeface="+mn-lt"/>
              <a:ea typeface="+mn-ea"/>
              <a:cs typeface="+mn-cs"/>
            </a:rPr>
            <a:t>Once these input parameters are specified the VBA code reads in the values and automatically populate labels for each of the independent and dependent variables applicable. The labels guide users to enter the data for each variable in the corresponding worksheet input range.   Two sets of input data are required for curve generation: Rated, and Performance Data.   </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Rated Data:</a:t>
          </a:r>
          <a:r>
            <a:rPr lang="en-US" sz="1100">
              <a:solidFill>
                <a:schemeClr val="dk1"/>
              </a:solidFill>
              <a:effectLst/>
              <a:latin typeface="+mn-lt"/>
              <a:ea typeface="+mn-ea"/>
              <a:cs typeface="+mn-cs"/>
            </a:rPr>
            <a:t> The rated data is used to normalize the performance data set. The rated test conditions depend on the equipment type.  For DX cooling coil the rated test temperatures are 67°F (19.4°C) indoor coil entering wet bulb, 80°F (26.7°C) indoor coil entering dry bulb and 95°F (35.0°C) outdoor coil entering dry bulb air temperatures per ANSI/AHRI Std. 210/240 (AHRI 2008).  If the rated test temperatures are different from the values populated by the tool, then the user may enter the applicable values manually.  The capacity should be gross and the power should be condenser fan power plus compressor power at the rated condition. The rated data can be one of the performance data points depending on the speed or stage. The rated data set is entered in the Cells range “B11:E11” of the INPUT tab.</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Performance Data:</a:t>
          </a:r>
          <a:r>
            <a:rPr lang="en-US" sz="1100">
              <a:solidFill>
                <a:schemeClr val="dk1"/>
              </a:solidFill>
              <a:effectLst/>
              <a:latin typeface="+mn-lt"/>
              <a:ea typeface="+mn-ea"/>
              <a:cs typeface="+mn-cs"/>
            </a:rPr>
            <a:t>  The performance data set entered depends on the type of independent variables selected.  To generate performance curves (e.g. DX Coils) as a function of temperatures require the capacity and power data at various combinations of indoor and outdoor coil entering air temperatures at a rated supply air flow rate. And performance curves (e.g. DX Coil) as function of flow fraction require  capacity and power data at various supply air flow rates and rated indoor and outdoor coil entering air (or water) temperatures. The performance data set may include the rated data as one of the data points. The performance data set is entered starting from row 15 and down for each of the variables as shown in the INPUT tab.</a:t>
          </a:r>
        </a:p>
        <a:p>
          <a:r>
            <a:rPr lang="en-US" sz="1100">
              <a:solidFill>
                <a:schemeClr val="dk1"/>
              </a:solidFill>
              <a:effectLst/>
              <a:latin typeface="+mn-lt"/>
              <a:ea typeface="+mn-ea"/>
              <a:cs typeface="+mn-cs"/>
            </a:rPr>
            <a:t> </a:t>
          </a:r>
        </a:p>
        <a:p>
          <a:r>
            <a:rPr lang="en-US" sz="1100">
              <a:solidFill>
                <a:schemeClr val="dk1"/>
              </a:solidFill>
              <a:effectLst/>
              <a:latin typeface="+mn-lt"/>
              <a:ea typeface="+mn-ea"/>
              <a:cs typeface="+mn-cs"/>
            </a:rPr>
            <a:t>The total cooling and heating capacities must be the gross values, i.e., not corrected for the supply fan heating effect.  Also the input power has to exclude the supply air fan power, but includes other miscellaneous power inputs (e.g. control panel power).   If manufacturers provide the total power, then the supply fan power must be deducted from the former.  If the capacity and power data are normalized values, then enter 1.0 for rated gross capacity and power in the </a:t>
          </a:r>
          <a:r>
            <a:rPr lang="en-US" sz="1100" b="1" i="1">
              <a:solidFill>
                <a:schemeClr val="dk1"/>
              </a:solidFill>
              <a:effectLst/>
              <a:latin typeface="+mn-lt"/>
              <a:ea typeface="+mn-ea"/>
              <a:cs typeface="+mn-cs"/>
            </a:rPr>
            <a:t>Rated Data</a:t>
          </a:r>
          <a:r>
            <a:rPr lang="en-US" sz="1100">
              <a:solidFill>
                <a:schemeClr val="dk1"/>
              </a:solidFill>
              <a:effectLst/>
              <a:latin typeface="+mn-lt"/>
              <a:ea typeface="+mn-ea"/>
              <a:cs typeface="+mn-cs"/>
            </a:rPr>
            <a:t> input Cells range (B11:E11 in the INPUT tab). Two samples of performance and rated data set are included in the “</a:t>
          </a:r>
          <a:r>
            <a:rPr lang="en-US" sz="1100" b="1">
              <a:solidFill>
                <a:schemeClr val="dk1"/>
              </a:solidFill>
              <a:effectLst/>
              <a:latin typeface="+mn-lt"/>
              <a:ea typeface="+mn-ea"/>
              <a:cs typeface="+mn-cs"/>
            </a:rPr>
            <a:t>INSTRUCTION</a:t>
          </a:r>
          <a:r>
            <a:rPr lang="en-US" sz="1100">
              <a:solidFill>
                <a:schemeClr val="dk1"/>
              </a:solidFill>
              <a:effectLst/>
              <a:latin typeface="+mn-lt"/>
              <a:ea typeface="+mn-ea"/>
              <a:cs typeface="+mn-cs"/>
            </a:rPr>
            <a:t>” tab. </a:t>
          </a:r>
        </a:p>
        <a:p>
          <a:endParaRPr lang="en-US" sz="1100"/>
        </a:p>
        <a:p>
          <a:r>
            <a:rPr lang="en-US" sz="1100" b="1"/>
            <a:t>OUTPUTS:</a:t>
          </a:r>
        </a:p>
        <a:p>
          <a:r>
            <a:rPr lang="en-US" sz="1100">
              <a:solidFill>
                <a:schemeClr val="dk1"/>
              </a:solidFill>
              <a:effectLst/>
              <a:latin typeface="+mn-lt"/>
              <a:ea typeface="+mn-ea"/>
              <a:cs typeface="+mn-cs"/>
            </a:rPr>
            <a:t>The generated curves are post-processed to make sure that the curve value is 1.0 at the rated condition.  The post processing is applied only if the curve value at the rated condition deviates by a value less than or equal to 0.025 and the performance data set contains the rated</a:t>
          </a:r>
          <a:r>
            <a:rPr lang="en-US" sz="1100" baseline="0">
              <a:solidFill>
                <a:schemeClr val="dk1"/>
              </a:solidFill>
              <a:effectLst/>
              <a:latin typeface="+mn-lt"/>
              <a:ea typeface="+mn-ea"/>
              <a:cs typeface="+mn-cs"/>
            </a:rPr>
            <a:t> data set as one the data points</a:t>
          </a:r>
          <a:r>
            <a:rPr lang="en-US" sz="1100">
              <a:solidFill>
                <a:schemeClr val="dk1"/>
              </a:solidFill>
              <a:effectLst/>
              <a:latin typeface="+mn-lt"/>
              <a:ea typeface="+mn-ea"/>
              <a:cs typeface="+mn-cs"/>
            </a:rPr>
            <a:t>. The coefficients of these curves are displayed on the "OUTPUT" tab. Besides the curve coefficients, the goodness of curve fit indicator statistical parameters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also reported.  The </a:t>
          </a:r>
          <a:r>
            <a:rPr lang="en-US" sz="1100" i="1">
              <a:solidFill>
                <a:schemeClr val="dk1"/>
              </a:solidFill>
              <a:effectLst/>
              <a:latin typeface="+mn-lt"/>
              <a:ea typeface="+mn-ea"/>
              <a:cs typeface="+mn-cs"/>
            </a:rPr>
            <a:t>R</a:t>
          </a:r>
          <a:r>
            <a:rPr lang="en-US" sz="1100" i="1" baseline="30000">
              <a:solidFill>
                <a:schemeClr val="dk1"/>
              </a:solidFill>
              <a:effectLst/>
              <a:latin typeface="+mn-lt"/>
              <a:ea typeface="+mn-ea"/>
              <a:cs typeface="+mn-cs"/>
            </a:rPr>
            <a:t>2</a:t>
          </a:r>
          <a:r>
            <a:rPr lang="en-US" sz="1100">
              <a:solidFill>
                <a:schemeClr val="dk1"/>
              </a:solidFill>
              <a:effectLst/>
              <a:latin typeface="+mn-lt"/>
              <a:ea typeface="+mn-ea"/>
              <a:cs typeface="+mn-cs"/>
            </a:rPr>
            <a:t> is the ratio of the sum of the squared deviations of the curve fit values from the mean to the sum of the squared deviations of the original data from the mean.  R squared values closer to 1.0 are good.  The tool has an option to save the curve object into an output file by running another macro (SaveCurveObjToTextFile).  The option output files and the directory path are specified in the OUTPUT tab in cells C2 and C3, respectively. If the output file name and path are left blank, then default names, "EplusCurveObjects.IDF" and the local directory where the tool is located are used.  The local directory where the tool is located must not have write restriction.</a:t>
          </a:r>
        </a:p>
        <a:p>
          <a:endParaRPr lang="en-US" sz="1100"/>
        </a:p>
        <a:p>
          <a:r>
            <a:rPr lang="en-US" sz="1100" b="1">
              <a:solidFill>
                <a:schemeClr val="dk1"/>
              </a:solidFill>
              <a:effectLst/>
              <a:latin typeface="+mn-lt"/>
              <a:ea typeface="+mn-ea"/>
              <a:cs typeface="+mn-cs"/>
            </a:rPr>
            <a:t>ERROR MESSAGE:</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Reports progress of the curve object generation calculation starting from reading input data to error massage output file "errorCurveObjects.txt".  This error message file provides information whether the tool run successfully or not.  Also points to the step where problem occurred.</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Notes: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tool has been tested on Ubuntu 11 using Libre Office and Macintosh 2011 machines.  But the button for running the macro may not be imported properly on Ubuntu hence users may have to run the tool manually by selecting "</a:t>
          </a:r>
          <a:r>
            <a:rPr lang="en-US" sz="1100" b="1">
              <a:solidFill>
                <a:schemeClr val="dk1"/>
              </a:solidFill>
              <a:effectLst/>
              <a:latin typeface="+mn-lt"/>
              <a:ea typeface="+mn-ea"/>
              <a:cs typeface="+mn-cs"/>
            </a:rPr>
            <a:t>ManageCurveFit</a:t>
          </a:r>
          <a:r>
            <a:rPr lang="en-US" sz="1100">
              <a:solidFill>
                <a:schemeClr val="dk1"/>
              </a:solidFill>
              <a:effectLst/>
              <a:latin typeface="+mn-lt"/>
              <a:ea typeface="+mn-ea"/>
              <a:cs typeface="+mn-cs"/>
            </a:rPr>
            <a:t>" and “</a:t>
          </a:r>
          <a:r>
            <a:rPr lang="en-US" sz="1100" b="1">
              <a:solidFill>
                <a:schemeClr val="dk1"/>
              </a:solidFill>
              <a:effectLst/>
              <a:latin typeface="+mn-lt"/>
              <a:ea typeface="+mn-ea"/>
              <a:cs typeface="+mn-cs"/>
            </a:rPr>
            <a:t>SaveCurveObjToTextFile</a:t>
          </a:r>
          <a:r>
            <a:rPr lang="en-US" sz="1100">
              <a:solidFill>
                <a:schemeClr val="dk1"/>
              </a:solidFill>
              <a:effectLst/>
              <a:latin typeface="+mn-lt"/>
              <a:ea typeface="+mn-ea"/>
              <a:cs typeface="+mn-cs"/>
            </a:rPr>
            <a:t>” subroutine from the macro list.</a:t>
          </a:r>
        </a:p>
        <a:p>
          <a:r>
            <a:rPr lang="en-US" sz="1100">
              <a:solidFill>
                <a:schemeClr val="dk1"/>
              </a:solidFill>
              <a:effectLst/>
              <a:latin typeface="+mn-lt"/>
              <a:ea typeface="+mn-ea"/>
              <a:cs typeface="+mn-cs"/>
            </a:rPr>
            <a:t> </a:t>
          </a:r>
        </a:p>
        <a:p>
          <a:r>
            <a:rPr lang="en-US" sz="1100" b="1">
              <a:solidFill>
                <a:schemeClr val="dk1"/>
              </a:solidFill>
              <a:effectLst/>
              <a:latin typeface="+mn-lt"/>
              <a:ea typeface="+mn-ea"/>
              <a:cs typeface="+mn-cs"/>
            </a:rPr>
            <a:t>References:</a:t>
          </a:r>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2008. ANSI/AHRI Standard 210/240: 2008 Standard for Performance Rating of Unitary Air-Conditioning &amp; Air-Source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AHRI 2007. ANSI/AHRI Standard 340/360: 2007 Standard for Performance Rating of Commercial and Industrial Unitary Air-Conditioning and Heat Pump Equipment. Arlington, VA: Air-Conditioning, Heating, and Refrigeration Institute.</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 AHRI 2003. ANSI/AHRI Standard 550/590: 2003 Standard for Performance Rating Of Water -Chilling Packages Using The Vapor Compression Cycle. Arlington, VA: Air-Conditioning, Heating, and Refrigeration Institute.</a:t>
          </a:r>
        </a:p>
      </xdr:txBody>
    </xdr:sp>
    <xdr:clientData/>
  </xdr:twoCellAnchor>
  <xdr:twoCellAnchor editAs="oneCell">
    <xdr:from>
      <xdr:col>1</xdr:col>
      <xdr:colOff>0</xdr:colOff>
      <xdr:row>100</xdr:row>
      <xdr:rowOff>0</xdr:rowOff>
    </xdr:from>
    <xdr:to>
      <xdr:col>11</xdr:col>
      <xdr:colOff>1048872</xdr:colOff>
      <xdr:row>123</xdr:row>
      <xdr:rowOff>74236</xdr:rowOff>
    </xdr:to>
    <xdr:pic>
      <xdr:nvPicPr>
        <xdr:cNvPr id="5" name="Picture 4"/>
        <xdr:cNvPicPr>
          <a:picLocks noChangeAspect="1"/>
        </xdr:cNvPicPr>
      </xdr:nvPicPr>
      <xdr:blipFill>
        <a:blip xmlns:r="http://schemas.openxmlformats.org/officeDocument/2006/relationships" r:embed="rId1"/>
        <a:stretch>
          <a:fillRect/>
        </a:stretch>
      </xdr:blipFill>
      <xdr:spPr>
        <a:xfrm>
          <a:off x="609600" y="18907125"/>
          <a:ext cx="7897347" cy="4455736"/>
        </a:xfrm>
        <a:prstGeom prst="rect">
          <a:avLst/>
        </a:prstGeom>
      </xdr:spPr>
    </xdr:pic>
    <xdr:clientData/>
  </xdr:twoCellAnchor>
  <xdr:twoCellAnchor editAs="oneCell">
    <xdr:from>
      <xdr:col>1</xdr:col>
      <xdr:colOff>133350</xdr:colOff>
      <xdr:row>223</xdr:row>
      <xdr:rowOff>19050</xdr:rowOff>
    </xdr:from>
    <xdr:to>
      <xdr:col>11</xdr:col>
      <xdr:colOff>533400</xdr:colOff>
      <xdr:row>237</xdr:row>
      <xdr:rowOff>176869</xdr:rowOff>
    </xdr:to>
    <xdr:pic>
      <xdr:nvPicPr>
        <xdr:cNvPr id="6"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42950" y="42281475"/>
          <a:ext cx="8963025" cy="2824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3</xdr:row>
          <xdr:rowOff>38100</xdr:rowOff>
        </xdr:from>
        <xdr:to>
          <xdr:col>4</xdr:col>
          <xdr:colOff>1409700</xdr:colOff>
          <xdr:row>5</xdr:row>
          <xdr:rowOff>123825</xdr:rowOff>
        </xdr:to>
        <xdr:sp macro="" textlink="">
          <xdr:nvSpPr>
            <xdr:cNvPr id="2068" name="Button 20" hidden="1">
              <a:extLst>
                <a:ext uri="{63B3BB69-23CF-44E3-9099-C40C66FF867C}">
                  <a14:compatExt spid="_x0000_s20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FF"/>
                  </a:solidFill>
                  <a:latin typeface="Calibri"/>
                </a:rPr>
                <a:t>Press To Generate Curves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4</xdr:row>
          <xdr:rowOff>0</xdr:rowOff>
        </xdr:from>
        <xdr:to>
          <xdr:col>6</xdr:col>
          <xdr:colOff>295275</xdr:colOff>
          <xdr:row>6</xdr:row>
          <xdr:rowOff>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FF"/>
                  </a:solidFill>
                  <a:latin typeface="Calibri"/>
                </a:rPr>
                <a:t>Save Curve Objects to a File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6</xdr:row>
      <xdr:rowOff>85725</xdr:rowOff>
    </xdr:from>
    <xdr:to>
      <xdr:col>4</xdr:col>
      <xdr:colOff>28575</xdr:colOff>
      <xdr:row>36</xdr:row>
      <xdr:rowOff>19050</xdr:rowOff>
    </xdr:to>
    <xdr:graphicFrame macro="">
      <xdr:nvGraphicFramePr>
        <xdr:cNvPr id="2"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209550</xdr:colOff>
      <xdr:row>8</xdr:row>
      <xdr:rowOff>0</xdr:rowOff>
    </xdr:from>
    <xdr:to>
      <xdr:col>4</xdr:col>
      <xdr:colOff>285750</xdr:colOff>
      <xdr:row>34</xdr:row>
      <xdr:rowOff>133350</xdr:rowOff>
    </xdr:to>
    <xdr:graphicFrame macro="">
      <xdr:nvGraphicFramePr>
        <xdr:cNvPr id="2"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MNET_Appendix%20H%20-%20Equipment%20Curves%20(Rev%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MNET%20-%20appendix_h_equipment_curves_(rev_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m VD DB"/>
      <sheetName val="COMNET Refs"/>
      <sheetName val="COMNET Data"/>
      <sheetName val="BiLinear_BiQuad"/>
      <sheetName val="Linear_Quad_Cubic"/>
      <sheetName val="Towers"/>
      <sheetName val="Heat Pumps"/>
      <sheetName val="Fans ACM 2001"/>
      <sheetName val="Fans VisualDOE"/>
      <sheetName val="Fans Rosenberg"/>
      <sheetName val="Fan Analysis"/>
    </sheetNames>
    <sheetDataSet>
      <sheetData sheetId="0"/>
      <sheetData sheetId="1"/>
      <sheetData sheetId="2">
        <row r="1">
          <cell r="A1" t="str">
            <v>Label</v>
          </cell>
          <cell r="B1" t="str">
            <v>Table</v>
          </cell>
          <cell r="C1" t="str">
            <v>DOE-2 Keyword</v>
          </cell>
          <cell r="D1" t="str">
            <v>EqpCurves.Name</v>
          </cell>
          <cell r="E1" t="str">
            <v>EqpCurves.Systems</v>
          </cell>
          <cell r="F1" t="str">
            <v>EqpCrvType.Name</v>
          </cell>
          <cell r="G1" t="str">
            <v>Source</v>
          </cell>
          <cell r="H1" t="str">
            <v>a</v>
          </cell>
          <cell r="I1" t="str">
            <v>b</v>
          </cell>
          <cell r="J1" t="str">
            <v>c</v>
          </cell>
          <cell r="K1" t="str">
            <v>d</v>
          </cell>
          <cell r="L1" t="str">
            <v>e</v>
          </cell>
          <cell r="M1" t="str">
            <v>f</v>
          </cell>
          <cell r="N1" t="str">
            <v>EQ Type</v>
          </cell>
          <cell r="O1" t="str">
            <v>IndpVrbls</v>
          </cell>
          <cell r="P1" t="str">
            <v>Z_Axis</v>
          </cell>
          <cell r="Q1" t="str">
            <v>X_Axis</v>
          </cell>
          <cell r="R1" t="str">
            <v>Y_Axis</v>
          </cell>
          <cell r="S1" t="str">
            <v>X_min</v>
          </cell>
          <cell r="T1" t="str">
            <v>X_max</v>
          </cell>
          <cell r="U1" t="str">
            <v>Y_min</v>
          </cell>
          <cell r="V1" t="str">
            <v>Y-max</v>
          </cell>
          <cell r="W1" t="str">
            <v>Order</v>
          </cell>
        </row>
        <row r="2">
          <cell r="A2" t="str">
            <v>Table 65 - Fan Power Part Load Adjustment - AF or BI Riding Curve</v>
          </cell>
          <cell r="B2">
            <v>66</v>
          </cell>
          <cell r="G2" t="str">
            <v>COMNET</v>
          </cell>
          <cell r="H2">
            <v>0.16309999999999999</v>
          </cell>
          <cell r="I2">
            <v>1.5901000000000001</v>
          </cell>
          <cell r="J2">
            <v>-0.88170000000000004</v>
          </cell>
          <cell r="K2">
            <v>0.12809999999999999</v>
          </cell>
          <cell r="L2">
            <v>0</v>
          </cell>
          <cell r="M2">
            <v>0</v>
          </cell>
          <cell r="N2" t="str">
            <v>QUAD</v>
          </cell>
          <cell r="P2" t="str">
            <v>PLR</v>
          </cell>
          <cell r="Q2" t="str">
            <v>Fan Ratio</v>
          </cell>
          <cell r="R2" t="str">
            <v>n.a.</v>
          </cell>
          <cell r="S2">
            <v>0.7</v>
          </cell>
          <cell r="T2">
            <v>1</v>
          </cell>
          <cell r="U2" t="str">
            <v>n.a.</v>
          </cell>
          <cell r="V2" t="str">
            <v>n.a.</v>
          </cell>
          <cell r="W2">
            <v>-5</v>
          </cell>
        </row>
        <row r="3">
          <cell r="A3" t="str">
            <v>Table 65 - Fan Power Part Load Adjustment - AF or BI Inlet Vanes</v>
          </cell>
          <cell r="B3">
            <v>66</v>
          </cell>
          <cell r="G3" t="str">
            <v>COMNET</v>
          </cell>
          <cell r="H3">
            <v>0.99770000000000003</v>
          </cell>
          <cell r="I3">
            <v>-0.65900000000000003</v>
          </cell>
          <cell r="J3">
            <v>0.95469999999999999</v>
          </cell>
          <cell r="K3">
            <v>-0.29360000000000003</v>
          </cell>
          <cell r="L3">
            <v>0</v>
          </cell>
          <cell r="M3">
            <v>0</v>
          </cell>
          <cell r="N3" t="str">
            <v>QUAD</v>
          </cell>
          <cell r="P3" t="str">
            <v>PLR</v>
          </cell>
          <cell r="Q3" t="str">
            <v>Fan Ratio</v>
          </cell>
          <cell r="R3" t="str">
            <v>n.a.</v>
          </cell>
          <cell r="S3">
            <v>0.5</v>
          </cell>
          <cell r="T3">
            <v>1</v>
          </cell>
          <cell r="U3" t="str">
            <v>n.a.</v>
          </cell>
          <cell r="V3" t="str">
            <v>n.a.</v>
          </cell>
          <cell r="W3">
            <v>-4</v>
          </cell>
        </row>
        <row r="4">
          <cell r="A4" t="str">
            <v>Table 65 - Fan Power Part Load Adjustment - FC Riding Curve</v>
          </cell>
          <cell r="B4">
            <v>66</v>
          </cell>
          <cell r="G4" t="str">
            <v>COMNET</v>
          </cell>
          <cell r="H4">
            <v>0.12239999999999999</v>
          </cell>
          <cell r="I4">
            <v>0.61199999999999999</v>
          </cell>
          <cell r="J4">
            <v>0.59830000000000005</v>
          </cell>
          <cell r="K4">
            <v>-0.33339999999999997</v>
          </cell>
          <cell r="L4">
            <v>0</v>
          </cell>
          <cell r="M4">
            <v>0</v>
          </cell>
          <cell r="N4" t="str">
            <v>QUAD</v>
          </cell>
          <cell r="P4" t="str">
            <v>PLR</v>
          </cell>
          <cell r="Q4" t="str">
            <v>Fan Ratio</v>
          </cell>
          <cell r="R4" t="str">
            <v>n.a.</v>
          </cell>
          <cell r="S4">
            <v>0.3</v>
          </cell>
          <cell r="T4">
            <v>1</v>
          </cell>
          <cell r="U4" t="str">
            <v>n.a.</v>
          </cell>
          <cell r="V4" t="str">
            <v>n.a.</v>
          </cell>
          <cell r="W4">
            <v>-3</v>
          </cell>
        </row>
        <row r="5">
          <cell r="A5" t="str">
            <v>Table 65 - Fan Power Part Load Adjustment - FC Inlet Vanes</v>
          </cell>
          <cell r="B5">
            <v>66</v>
          </cell>
          <cell r="G5" t="str">
            <v>COMNET</v>
          </cell>
          <cell r="H5">
            <v>0.30380000000000001</v>
          </cell>
          <cell r="I5">
            <v>-0.76080000000000003</v>
          </cell>
          <cell r="J5">
            <v>2.2728999999999999</v>
          </cell>
          <cell r="K5">
            <v>-0.81689999999999996</v>
          </cell>
          <cell r="L5">
            <v>0</v>
          </cell>
          <cell r="M5">
            <v>0</v>
          </cell>
          <cell r="N5" t="str">
            <v>QUAD</v>
          </cell>
          <cell r="P5" t="str">
            <v>PLR</v>
          </cell>
          <cell r="Q5" t="str">
            <v>Fan Ratio</v>
          </cell>
          <cell r="R5" t="str">
            <v>n.a.</v>
          </cell>
          <cell r="S5">
            <v>0.3</v>
          </cell>
          <cell r="T5">
            <v>1</v>
          </cell>
          <cell r="U5" t="str">
            <v>n.a.</v>
          </cell>
          <cell r="V5" t="str">
            <v>n.a.</v>
          </cell>
          <cell r="W5">
            <v>-2</v>
          </cell>
        </row>
        <row r="6">
          <cell r="A6" t="str">
            <v>Table 65 - Fan Power Part Load Adjustment - Vane Axial Variable Pitch Blades</v>
          </cell>
          <cell r="B6">
            <v>66</v>
          </cell>
          <cell r="G6" t="str">
            <v>COMNET</v>
          </cell>
          <cell r="H6">
            <v>0.16389999999999999</v>
          </cell>
          <cell r="I6">
            <v>-0.40160000000000001</v>
          </cell>
          <cell r="J6">
            <v>1.9908999999999999</v>
          </cell>
          <cell r="K6">
            <v>-0.75409999999999999</v>
          </cell>
          <cell r="L6">
            <v>0</v>
          </cell>
          <cell r="M6">
            <v>0</v>
          </cell>
          <cell r="N6" t="str">
            <v>QUAD</v>
          </cell>
          <cell r="P6" t="str">
            <v>PLR</v>
          </cell>
          <cell r="Q6" t="str">
            <v>Fan Ratio</v>
          </cell>
          <cell r="R6" t="str">
            <v>n.a.</v>
          </cell>
          <cell r="S6">
            <v>0.2</v>
          </cell>
          <cell r="T6">
            <v>1</v>
          </cell>
          <cell r="U6" t="str">
            <v>n.a.</v>
          </cell>
          <cell r="V6" t="str">
            <v>n.a.</v>
          </cell>
          <cell r="W6">
            <v>-1</v>
          </cell>
        </row>
        <row r="7">
          <cell r="A7" t="str">
            <v>Table 65 - Fan Power Part Load Adjustment - Any Fan with VSD</v>
          </cell>
          <cell r="B7">
            <v>66</v>
          </cell>
          <cell r="G7" t="str">
            <v>PRM</v>
          </cell>
          <cell r="H7">
            <v>1.2999999999999999E-3</v>
          </cell>
          <cell r="I7">
            <v>0.14699999999999999</v>
          </cell>
          <cell r="J7">
            <v>0.9506</v>
          </cell>
          <cell r="K7">
            <v>-9.98E-2</v>
          </cell>
          <cell r="L7">
            <v>0</v>
          </cell>
          <cell r="M7">
            <v>0</v>
          </cell>
          <cell r="N7" t="str">
            <v>QUAD</v>
          </cell>
          <cell r="P7" t="str">
            <v>PLR</v>
          </cell>
          <cell r="Q7" t="str">
            <v>Fan Ratio</v>
          </cell>
          <cell r="R7" t="str">
            <v>n.a.</v>
          </cell>
          <cell r="S7">
            <v>0.2</v>
          </cell>
          <cell r="T7">
            <v>1</v>
          </cell>
          <cell r="U7" t="str">
            <v>n.a.</v>
          </cell>
          <cell r="V7" t="str">
            <v>n.a.</v>
          </cell>
          <cell r="W7">
            <v>0</v>
          </cell>
        </row>
        <row r="8">
          <cell r="A8" t="str">
            <v>Table 65 - Fan Power Part Load Adjustment - VSD with Static Pressure Reset</v>
          </cell>
          <cell r="B8">
            <v>66</v>
          </cell>
          <cell r="G8" t="str">
            <v>COMNET</v>
          </cell>
          <cell r="H8">
            <v>-3.0999999999999999E-3</v>
          </cell>
          <cell r="I8">
            <v>9.9099999999999994E-2</v>
          </cell>
          <cell r="J8">
            <v>1.0267999999999999</v>
          </cell>
          <cell r="K8">
            <v>-0.1128</v>
          </cell>
          <cell r="L8">
            <v>0</v>
          </cell>
          <cell r="M8">
            <v>0</v>
          </cell>
          <cell r="N8" t="str">
            <v>QUAD</v>
          </cell>
          <cell r="O8" t="str">
            <v>PLR</v>
          </cell>
          <cell r="P8" t="str">
            <v>PLR</v>
          </cell>
          <cell r="Q8" t="str">
            <v>Fan Ratio</v>
          </cell>
          <cell r="R8" t="str">
            <v>n.a.</v>
          </cell>
          <cell r="S8">
            <v>0.2</v>
          </cell>
          <cell r="T8">
            <v>1</v>
          </cell>
          <cell r="U8" t="str">
            <v>n.a.</v>
          </cell>
          <cell r="V8" t="str">
            <v>n.a.</v>
          </cell>
          <cell r="W8">
            <v>1</v>
          </cell>
        </row>
        <row r="9">
          <cell r="A9" t="str">
            <v>Table 68 - Air Cooled DX - PTAC</v>
          </cell>
          <cell r="B9">
            <v>69</v>
          </cell>
          <cell r="C9" t="str">
            <v>COOL-CAP-FT</v>
          </cell>
          <cell r="D9" t="str">
            <v>SDL-C2</v>
          </cell>
          <cell r="E9" t="str">
            <v>PTAC</v>
          </cell>
          <cell r="F9" t="str">
            <v>Cool Capacity = F(WB,EDB)</v>
          </cell>
          <cell r="G9" t="str">
            <v>DOE-2</v>
          </cell>
          <cell r="H9">
            <v>1.1839344999999999</v>
          </cell>
          <cell r="I9">
            <v>-8.1086999999999999E-3</v>
          </cell>
          <cell r="J9">
            <v>2.1100000000000001E-4</v>
          </cell>
          <cell r="K9">
            <v>-6.1425000000000004E-3</v>
          </cell>
          <cell r="L9">
            <v>1.5999999999999999E-6</v>
          </cell>
          <cell r="M9">
            <v>-3.0000000000000001E-6</v>
          </cell>
          <cell r="N9" t="str">
            <v>BI-QUAD</v>
          </cell>
          <cell r="O9" t="str">
            <v>WB/EDB</v>
          </cell>
          <cell r="P9" t="str">
            <v>CAP-FT</v>
          </cell>
          <cell r="Q9" t="str">
            <v>Twb</v>
          </cell>
          <cell r="R9" t="str">
            <v>Todb</v>
          </cell>
          <cell r="S9">
            <v>30</v>
          </cell>
          <cell r="T9">
            <v>90</v>
          </cell>
          <cell r="U9">
            <v>60</v>
          </cell>
          <cell r="V9">
            <v>120</v>
          </cell>
          <cell r="W9">
            <v>8</v>
          </cell>
        </row>
        <row r="10">
          <cell r="A10" t="str">
            <v>Table 68 - Air Cooled DX - Other</v>
          </cell>
          <cell r="B10">
            <v>69</v>
          </cell>
          <cell r="C10" t="str">
            <v>COOL-CAP-FT</v>
          </cell>
          <cell r="D10" t="str">
            <v>SDL-C3</v>
          </cell>
          <cell r="E10" t="str">
            <v>PSZ, PMZ, PVAVS</v>
          </cell>
          <cell r="F10" t="str">
            <v>Cool Capacity = F(WB,EDB)</v>
          </cell>
          <cell r="G10" t="str">
            <v>DOE-2</v>
          </cell>
          <cell r="H10">
            <v>0.87403019999999998</v>
          </cell>
          <cell r="I10">
            <v>-1.1416E-3</v>
          </cell>
          <cell r="J10">
            <v>1.7110000000000001E-4</v>
          </cell>
          <cell r="K10">
            <v>-2.957E-3</v>
          </cell>
          <cell r="L10">
            <v>1.0200000000000001E-5</v>
          </cell>
          <cell r="M10">
            <v>-5.9200000000000002E-5</v>
          </cell>
          <cell r="N10" t="str">
            <v>BI-QUAD</v>
          </cell>
          <cell r="O10" t="str">
            <v>WB/EDB</v>
          </cell>
          <cell r="P10" t="str">
            <v>CAP-FT</v>
          </cell>
          <cell r="Q10" t="str">
            <v>Twb</v>
          </cell>
          <cell r="R10" t="str">
            <v>Todb</v>
          </cell>
          <cell r="S10">
            <v>30</v>
          </cell>
          <cell r="T10">
            <v>90</v>
          </cell>
          <cell r="U10">
            <v>60</v>
          </cell>
          <cell r="V10">
            <v>120</v>
          </cell>
          <cell r="W10">
            <v>9</v>
          </cell>
        </row>
        <row r="11">
          <cell r="A11" t="str">
            <v>Table 68 - Water Cooled DX - HP</v>
          </cell>
          <cell r="B11">
            <v>69</v>
          </cell>
          <cell r="C11" t="str">
            <v>COOL-CAP-FT</v>
          </cell>
          <cell r="D11" t="str">
            <v>SDL-C5</v>
          </cell>
          <cell r="E11" t="str">
            <v>HP</v>
          </cell>
          <cell r="F11" t="str">
            <v>Cool Capacity = F(WB,WT)</v>
          </cell>
          <cell r="G11" t="str">
            <v>DOE-2</v>
          </cell>
          <cell r="H11">
            <v>-0.2780377</v>
          </cell>
          <cell r="I11">
            <v>2.4830700000000001E-2</v>
          </cell>
          <cell r="J11">
            <v>-9.5000000000000005E-6</v>
          </cell>
          <cell r="K11">
            <v>-3.2731000000000001E-3</v>
          </cell>
          <cell r="L11">
            <v>6.9999999999999999E-6</v>
          </cell>
          <cell r="M11">
            <v>-2.7199999999999998E-6</v>
          </cell>
          <cell r="N11" t="str">
            <v>BI-QUAD</v>
          </cell>
          <cell r="O11" t="str">
            <v>WB/WT</v>
          </cell>
          <cell r="P11" t="str">
            <v>CAP-FT</v>
          </cell>
          <cell r="Q11" t="str">
            <v>Twb</v>
          </cell>
          <cell r="R11" t="str">
            <v>Tw</v>
          </cell>
          <cell r="S11">
            <v>30</v>
          </cell>
          <cell r="T11">
            <v>90</v>
          </cell>
          <cell r="U11">
            <v>60</v>
          </cell>
          <cell r="V11">
            <v>120</v>
          </cell>
          <cell r="W11">
            <v>10</v>
          </cell>
        </row>
        <row r="12">
          <cell r="A12" t="str">
            <v>Table 68 - Water Cooled DX - Other</v>
          </cell>
          <cell r="B12">
            <v>69</v>
          </cell>
          <cell r="C12" t="str">
            <v>COIL-BF-FT</v>
          </cell>
          <cell r="D12" t="str">
            <v>SDL-C6</v>
          </cell>
          <cell r="E12" t="str">
            <v>WTR-CC</v>
          </cell>
          <cell r="F12" t="str">
            <v>Coil Bypass Factor = F(WB,WT)</v>
          </cell>
          <cell r="G12" t="str">
            <v xml:space="preserve">ECB CS </v>
          </cell>
          <cell r="H12">
            <v>0.94526330000000003</v>
          </cell>
          <cell r="I12">
            <v>-9.4199000000000001E-3</v>
          </cell>
          <cell r="J12">
            <v>2.2699999999999999E-4</v>
          </cell>
          <cell r="K12">
            <v>4.8050000000000002E-4</v>
          </cell>
          <cell r="L12">
            <v>-4.5000000000000001E-6</v>
          </cell>
          <cell r="M12">
            <v>-5.9900000000000002E-6</v>
          </cell>
          <cell r="N12" t="str">
            <v>BI-QUAD</v>
          </cell>
          <cell r="O12" t="str">
            <v>WB-WT</v>
          </cell>
          <cell r="P12" t="str">
            <v>CAP-FT</v>
          </cell>
          <cell r="Q12" t="str">
            <v>Twb</v>
          </cell>
          <cell r="R12" t="str">
            <v>Tw</v>
          </cell>
          <cell r="S12">
            <v>30</v>
          </cell>
          <cell r="T12">
            <v>90</v>
          </cell>
          <cell r="U12">
            <v>60</v>
          </cell>
          <cell r="V12">
            <v>120</v>
          </cell>
          <cell r="W12">
            <v>11</v>
          </cell>
        </row>
        <row r="13">
          <cell r="A13" t="str">
            <v>Table 68 - Chilled Water Coils - Fan Coil</v>
          </cell>
          <cell r="B13">
            <v>69</v>
          </cell>
          <cell r="C13" t="str">
            <v>COOL-CAP-FT</v>
          </cell>
          <cell r="D13" t="str">
            <v>SDL-C10</v>
          </cell>
          <cell r="E13" t="str">
            <v>TPFC, FPFC</v>
          </cell>
          <cell r="F13" t="str">
            <v>Cool Capacity = F(WB,DB)</v>
          </cell>
          <cell r="G13" t="str">
            <v>DOE-2</v>
          </cell>
          <cell r="H13">
            <v>0.50388659999999996</v>
          </cell>
          <cell r="I13">
            <v>-8.6917599999999998E-2</v>
          </cell>
          <cell r="J13">
            <v>1.6846999999999999E-3</v>
          </cell>
          <cell r="K13">
            <v>3.3630399999999998E-2</v>
          </cell>
          <cell r="L13">
            <v>2.4780000000000001E-4</v>
          </cell>
          <cell r="M13">
            <v>-1.0296999999999999E-3</v>
          </cell>
          <cell r="N13" t="str">
            <v>BI-QUAD</v>
          </cell>
          <cell r="O13" t="str">
            <v>WB/DB</v>
          </cell>
          <cell r="P13" t="str">
            <v>CAP-FT</v>
          </cell>
          <cell r="Q13" t="str">
            <v>Twb</v>
          </cell>
          <cell r="R13" t="str">
            <v>Tdb</v>
          </cell>
          <cell r="S13">
            <v>60</v>
          </cell>
          <cell r="T13">
            <v>90</v>
          </cell>
          <cell r="U13">
            <v>60</v>
          </cell>
          <cell r="V13">
            <v>90</v>
          </cell>
          <cell r="W13">
            <v>12</v>
          </cell>
        </row>
        <row r="14">
          <cell r="A14" t="str">
            <v>Table 68 - Chilled Water Coils - Other</v>
          </cell>
          <cell r="B14">
            <v>69</v>
          </cell>
          <cell r="C14" t="str">
            <v>COOL-CAP-FT</v>
          </cell>
          <cell r="D14" t="str">
            <v>SDL-C7</v>
          </cell>
          <cell r="E14" t="str">
            <v>SZRH, MZS, DDS, SZCI, TPIU, FPIU, VAVS, RHFS, CBVAV, PIU</v>
          </cell>
          <cell r="F14" t="str">
            <v>Cool Capacity = F(WB,DB)</v>
          </cell>
          <cell r="G14" t="str">
            <v>DOE-2</v>
          </cell>
          <cell r="H14">
            <v>2.5882584999999998</v>
          </cell>
          <cell r="I14">
            <v>-0.23058790000000001</v>
          </cell>
          <cell r="J14">
            <v>3.8359000000000002E-3</v>
          </cell>
          <cell r="K14">
            <v>0.1025812</v>
          </cell>
          <cell r="L14">
            <v>5.9840000000000002E-4</v>
          </cell>
          <cell r="M14">
            <v>-2.8720999999999998E-3</v>
          </cell>
          <cell r="N14" t="str">
            <v>BI-QUAD</v>
          </cell>
          <cell r="O14" t="str">
            <v>WB/DB</v>
          </cell>
          <cell r="P14" t="str">
            <v>CAP-FT</v>
          </cell>
          <cell r="Q14" t="str">
            <v>Twb</v>
          </cell>
          <cell r="R14" t="str">
            <v>Tdb</v>
          </cell>
          <cell r="S14">
            <v>60</v>
          </cell>
          <cell r="T14">
            <v>90</v>
          </cell>
          <cell r="U14">
            <v>60</v>
          </cell>
          <cell r="V14">
            <v>90</v>
          </cell>
          <cell r="W14">
            <v>13</v>
          </cell>
        </row>
        <row r="15">
          <cell r="A15" t="str">
            <v>Table 70 - Coil Bypass Airflow Adjustment - PTAC</v>
          </cell>
          <cell r="B15">
            <v>71</v>
          </cell>
          <cell r="C15" t="str">
            <v>COIL-BF-FFLOW</v>
          </cell>
          <cell r="D15" t="str">
            <v>SDL-C32</v>
          </cell>
          <cell r="E15" t="str">
            <v>PTAC</v>
          </cell>
          <cell r="F15" t="str">
            <v>Coil Bypass Factor = F(FLOW)</v>
          </cell>
          <cell r="G15" t="str">
            <v>DOE-2</v>
          </cell>
          <cell r="H15">
            <v>-2.2770000000000001</v>
          </cell>
          <cell r="I15">
            <v>5.2114000000000003</v>
          </cell>
          <cell r="J15">
            <v>-1.9343999999999999</v>
          </cell>
          <cell r="K15">
            <v>0</v>
          </cell>
          <cell r="L15">
            <v>0</v>
          </cell>
          <cell r="M15">
            <v>0</v>
          </cell>
          <cell r="N15" t="str">
            <v>QUAD</v>
          </cell>
          <cell r="O15" t="str">
            <v>CFM-PLR</v>
          </cell>
          <cell r="P15" t="str">
            <v>COIL-BF-FFLOW</v>
          </cell>
          <cell r="Q15" t="str">
            <v>CFRM</v>
          </cell>
          <cell r="R15" t="str">
            <v>n.a.</v>
          </cell>
          <cell r="S15">
            <v>0</v>
          </cell>
          <cell r="T15">
            <v>1</v>
          </cell>
          <cell r="U15" t="str">
            <v>n.a.</v>
          </cell>
          <cell r="V15" t="str">
            <v>n.a.</v>
          </cell>
          <cell r="W15">
            <v>14</v>
          </cell>
        </row>
        <row r="16">
          <cell r="A16" t="str">
            <v>Table 70 - Coil Bypass Airflow Adjustment - HP</v>
          </cell>
          <cell r="B16">
            <v>71</v>
          </cell>
          <cell r="C16" t="str">
            <v>COIL-BF-FFLOW</v>
          </cell>
          <cell r="D16" t="str">
            <v>SDL-C35</v>
          </cell>
          <cell r="E16" t="str">
            <v>HP</v>
          </cell>
          <cell r="F16" t="str">
            <v>Coil Bypass Factor = F(FLOW)</v>
          </cell>
          <cell r="G16" t="str">
            <v>DOE-2</v>
          </cell>
          <cell r="H16">
            <v>-0.82816020000000001</v>
          </cell>
          <cell r="I16">
            <v>14.317914999999999</v>
          </cell>
          <cell r="J16">
            <v>-21.889440499999999</v>
          </cell>
          <cell r="K16">
            <v>9.3996896999999997</v>
          </cell>
          <cell r="L16">
            <v>0</v>
          </cell>
          <cell r="M16">
            <v>0</v>
          </cell>
          <cell r="N16" t="str">
            <v>CUBIC</v>
          </cell>
          <cell r="O16" t="str">
            <v>CFM-PLR</v>
          </cell>
          <cell r="P16" t="str">
            <v>COIL-BF-FFLOW</v>
          </cell>
          <cell r="Q16" t="str">
            <v>CFRM</v>
          </cell>
          <cell r="R16" t="str">
            <v>n.a.</v>
          </cell>
          <cell r="S16">
            <v>0.5</v>
          </cell>
          <cell r="T16">
            <v>1</v>
          </cell>
          <cell r="U16" t="str">
            <v>n.a.</v>
          </cell>
          <cell r="V16" t="str">
            <v>n.a.</v>
          </cell>
          <cell r="W16">
            <v>15</v>
          </cell>
        </row>
        <row r="17">
          <cell r="A17" t="str">
            <v>Table 70 - Coil Bypass Airflow Adjustment - PSZ / Other</v>
          </cell>
          <cell r="B17">
            <v>71</v>
          </cell>
          <cell r="C17" t="str">
            <v>COIL-BF-FFLOW</v>
          </cell>
          <cell r="D17" t="str">
            <v>SDL-C33</v>
          </cell>
          <cell r="E17" t="str">
            <v>PSZ, PMZS, PVAVS</v>
          </cell>
          <cell r="F17" t="str">
            <v>Coil Bypass Factor = F(FLOW)</v>
          </cell>
          <cell r="G17" t="str">
            <v>DOE-2</v>
          </cell>
          <cell r="H17">
            <v>-0.25423410000000002</v>
          </cell>
          <cell r="I17">
            <v>1.2182558000000001</v>
          </cell>
          <cell r="J17">
            <v>3.5978400000000001E-2</v>
          </cell>
          <cell r="K17">
            <v>0</v>
          </cell>
          <cell r="L17">
            <v>0</v>
          </cell>
          <cell r="M17">
            <v>0</v>
          </cell>
          <cell r="N17" t="str">
            <v>QUAD</v>
          </cell>
          <cell r="O17" t="str">
            <v>CFM-PLR</v>
          </cell>
          <cell r="P17" t="str">
            <v>COIL-BF-FFLOW</v>
          </cell>
          <cell r="Q17" t="str">
            <v>CFRM</v>
          </cell>
          <cell r="R17" t="str">
            <v>n.a.</v>
          </cell>
          <cell r="S17">
            <v>0</v>
          </cell>
          <cell r="T17">
            <v>1</v>
          </cell>
          <cell r="U17" t="str">
            <v>n.a.</v>
          </cell>
          <cell r="V17" t="str">
            <v>n.a.</v>
          </cell>
          <cell r="W17">
            <v>16</v>
          </cell>
        </row>
        <row r="18">
          <cell r="A18" t="str">
            <v>Table 71 - Coil Bypass Temperature Adjustment - PTAC</v>
          </cell>
          <cell r="B18">
            <v>72</v>
          </cell>
          <cell r="C18" t="str">
            <v>COIL-BF-FT</v>
          </cell>
          <cell r="D18" t="str">
            <v>SDL-C42</v>
          </cell>
          <cell r="E18" t="str">
            <v>PTAC</v>
          </cell>
          <cell r="F18" t="str">
            <v>Coil Bypass Factor = F(WB,EDB)</v>
          </cell>
          <cell r="G18" t="str">
            <v>DOE-2</v>
          </cell>
          <cell r="H18">
            <v>-1.5713691000000001</v>
          </cell>
          <cell r="I18">
            <v>4.6963299999999999E-2</v>
          </cell>
          <cell r="J18">
            <v>3.1250000000000001E-4</v>
          </cell>
          <cell r="K18">
            <v>-6.5347000000000001E-3</v>
          </cell>
          <cell r="L18">
            <v>1.105E-4</v>
          </cell>
          <cell r="M18">
            <v>-3.7189999999999999E-4</v>
          </cell>
          <cell r="N18" t="str">
            <v>BI-QUAD</v>
          </cell>
          <cell r="O18" t="str">
            <v>WB/EDB</v>
          </cell>
          <cell r="P18" t="str">
            <v>COIL-BF-FT</v>
          </cell>
          <cell r="Q18" t="str">
            <v>Twb</v>
          </cell>
          <cell r="R18" t="str">
            <v>Tdb</v>
          </cell>
          <cell r="S18">
            <v>30</v>
          </cell>
          <cell r="T18">
            <v>90</v>
          </cell>
          <cell r="U18">
            <v>60</v>
          </cell>
          <cell r="V18">
            <v>120</v>
          </cell>
          <cell r="W18">
            <v>17</v>
          </cell>
        </row>
        <row r="19">
          <cell r="A19" t="str">
            <v>Table 71 - Coil Bypass Temperature Adjustment - HP</v>
          </cell>
          <cell r="B19">
            <v>72</v>
          </cell>
          <cell r="C19" t="str">
            <v>COIL-BF-FT</v>
          </cell>
          <cell r="D19" t="str">
            <v>SDL-C45</v>
          </cell>
          <cell r="E19" t="str">
            <v>HP</v>
          </cell>
          <cell r="F19" t="str">
            <v>Coil Bypass Factor = F(WB,WT)</v>
          </cell>
          <cell r="G19" t="str">
            <v>DOE-2</v>
          </cell>
          <cell r="H19">
            <v>-29.939109800000001</v>
          </cell>
          <cell r="I19">
            <v>0.8753455</v>
          </cell>
          <cell r="J19">
            <v>0.16144500000000001</v>
          </cell>
          <cell r="K19">
            <v>0.16144500000000001</v>
          </cell>
          <cell r="L19">
            <v>2.9070000000000002E-4</v>
          </cell>
          <cell r="M19">
            <v>-3.1523E-4</v>
          </cell>
          <cell r="N19" t="str">
            <v>BI-QUAD</v>
          </cell>
          <cell r="O19" t="str">
            <v>WB/WT</v>
          </cell>
          <cell r="P19" t="str">
            <v>COIL-BF-FT</v>
          </cell>
          <cell r="Q19" t="str">
            <v>Twb</v>
          </cell>
          <cell r="R19" t="str">
            <v>Tdb</v>
          </cell>
          <cell r="S19">
            <v>30</v>
          </cell>
          <cell r="T19">
            <v>90</v>
          </cell>
          <cell r="U19">
            <v>60</v>
          </cell>
          <cell r="V19">
            <v>120</v>
          </cell>
          <cell r="W19">
            <v>18</v>
          </cell>
        </row>
        <row r="20">
          <cell r="A20" t="str">
            <v>Table 71 - Coil Bypass Temperature Adjustment - PSZ / Other</v>
          </cell>
          <cell r="B20">
            <v>72</v>
          </cell>
          <cell r="G20" t="str">
            <v>DOE-2</v>
          </cell>
          <cell r="H20">
            <v>1.0660053</v>
          </cell>
          <cell r="I20">
            <v>-5.1699999999999999E-4</v>
          </cell>
          <cell r="J20">
            <v>5.6700000000000003E-5</v>
          </cell>
          <cell r="K20">
            <v>-1.29181E-2</v>
          </cell>
          <cell r="L20">
            <v>-1.7E-6</v>
          </cell>
          <cell r="M20">
            <v>1.5029999999999999E-4</v>
          </cell>
          <cell r="N20" t="str">
            <v>BI-QUAD</v>
          </cell>
          <cell r="O20" t="str">
            <v>WB/EDB</v>
          </cell>
          <cell r="P20" t="str">
            <v>COIL-BF-FT</v>
          </cell>
          <cell r="Q20" t="str">
            <v>Twb</v>
          </cell>
          <cell r="R20" t="str">
            <v>Tdb</v>
          </cell>
          <cell r="S20">
            <v>30</v>
          </cell>
          <cell r="T20">
            <v>90</v>
          </cell>
          <cell r="U20">
            <v>60</v>
          </cell>
          <cell r="V20">
            <v>120</v>
          </cell>
          <cell r="W20">
            <v>19</v>
          </cell>
        </row>
        <row r="21">
          <cell r="A21" t="str">
            <v>Table 72 - Coil Bypass Part Load Adjustment - All Systems</v>
          </cell>
          <cell r="B21">
            <v>73</v>
          </cell>
          <cell r="C21" t="str">
            <v>COIL-BF-FPLR</v>
          </cell>
          <cell r="D21" t="str">
            <v>SDL-C120</v>
          </cell>
          <cell r="E21" t="str">
            <v>HP, PSZ, PMZS, PTAC, PVVT, PVAVS</v>
          </cell>
          <cell r="F21" t="str">
            <v>Coil Bypass Factor = F(PLR)</v>
          </cell>
          <cell r="G21" t="str">
            <v>DOE-2</v>
          </cell>
          <cell r="H21">
            <v>0</v>
          </cell>
          <cell r="I21">
            <v>1</v>
          </cell>
          <cell r="J21">
            <v>0</v>
          </cell>
          <cell r="K21">
            <v>0</v>
          </cell>
          <cell r="L21">
            <v>0</v>
          </cell>
          <cell r="M21">
            <v>0</v>
          </cell>
          <cell r="N21" t="str">
            <v>LINEAR</v>
          </cell>
          <cell r="O21" t="str">
            <v>PLR</v>
          </cell>
          <cell r="P21" t="str">
            <v>COIL-BF-FPLR</v>
          </cell>
          <cell r="Q21" t="str">
            <v>PLR</v>
          </cell>
          <cell r="R21" t="str">
            <v>n.a.</v>
          </cell>
          <cell r="S21">
            <v>0</v>
          </cell>
          <cell r="T21">
            <v>1</v>
          </cell>
          <cell r="U21" t="str">
            <v>n.a.</v>
          </cell>
          <cell r="V21" t="str">
            <v>n.a.</v>
          </cell>
          <cell r="W21">
            <v>20</v>
          </cell>
        </row>
        <row r="22">
          <cell r="A22" t="str">
            <v>Table 73 - Cooling System Efficiency Part Load Adjustment - Water Source HP</v>
          </cell>
          <cell r="B22">
            <v>74</v>
          </cell>
          <cell r="C22" t="str">
            <v>COOL-EIR-FPLR</v>
          </cell>
          <cell r="D22" t="str">
            <v>SDL-C16</v>
          </cell>
          <cell r="E22" t="str">
            <v>RESYS</v>
          </cell>
          <cell r="F22" t="str">
            <v>Cool EIR = F(PLR)</v>
          </cell>
          <cell r="G22" t="str">
            <v>DOE-2</v>
          </cell>
          <cell r="H22">
            <v>0.125</v>
          </cell>
          <cell r="I22">
            <v>0.875</v>
          </cell>
          <cell r="J22">
            <v>0</v>
          </cell>
          <cell r="K22">
            <v>1.5421300000000001E-2</v>
          </cell>
          <cell r="L22">
            <v>0</v>
          </cell>
          <cell r="M22">
            <v>0</v>
          </cell>
          <cell r="N22" t="str">
            <v>CUBIC</v>
          </cell>
          <cell r="O22" t="str">
            <v>PLR</v>
          </cell>
          <cell r="P22" t="str">
            <v>EIR-FPLR</v>
          </cell>
          <cell r="Q22" t="str">
            <v>PLR</v>
          </cell>
          <cell r="R22" t="str">
            <v>n.a.</v>
          </cell>
          <cell r="S22">
            <v>0</v>
          </cell>
          <cell r="T22">
            <v>1</v>
          </cell>
          <cell r="U22" t="str">
            <v>n.a.</v>
          </cell>
          <cell r="V22" t="str">
            <v>n.a.</v>
          </cell>
          <cell r="W22">
            <v>21</v>
          </cell>
        </row>
        <row r="23">
          <cell r="A23" t="str">
            <v>Table 73 - Cooling System Efficiency Part Load Adjustment - Water Source Other</v>
          </cell>
          <cell r="B23">
            <v>74</v>
          </cell>
          <cell r="C23" t="str">
            <v>COOL-EIR-FPLR</v>
          </cell>
          <cell r="D23" t="str">
            <v>SDL-C19</v>
          </cell>
          <cell r="E23" t="str">
            <v>WTR-CC</v>
          </cell>
          <cell r="F23" t="str">
            <v>Cool EIR = F(PLR)</v>
          </cell>
          <cell r="G23" t="str">
            <v>DOE-2</v>
          </cell>
          <cell r="H23">
            <v>0.2012301</v>
          </cell>
          <cell r="I23">
            <v>-3.1217499999999999E-2</v>
          </cell>
          <cell r="J23">
            <v>1.9504979</v>
          </cell>
          <cell r="K23">
            <v>0</v>
          </cell>
          <cell r="L23">
            <v>0</v>
          </cell>
          <cell r="M23">
            <v>0</v>
          </cell>
          <cell r="N23" t="str">
            <v>CUBIC</v>
          </cell>
          <cell r="O23" t="str">
            <v>PLR</v>
          </cell>
          <cell r="P23" t="str">
            <v>EIR-FPLR</v>
          </cell>
          <cell r="Q23" t="str">
            <v>PLR</v>
          </cell>
          <cell r="R23" t="str">
            <v>n.a.</v>
          </cell>
          <cell r="S23">
            <v>0</v>
          </cell>
          <cell r="T23">
            <v>1</v>
          </cell>
          <cell r="U23" t="str">
            <v>n.a.</v>
          </cell>
          <cell r="V23" t="str">
            <v>n.a.</v>
          </cell>
          <cell r="W23">
            <v>22</v>
          </cell>
        </row>
        <row r="24">
          <cell r="A24" t="str">
            <v>Table 73 - Cooling System Efficiency Part Load Adjustment - Air Source PTAC</v>
          </cell>
          <cell r="B24">
            <v>74</v>
          </cell>
          <cell r="C24" t="str">
            <v>COOL-EIR-FPLR</v>
          </cell>
          <cell r="D24" t="str">
            <v>SDL-C16</v>
          </cell>
          <cell r="E24" t="str">
            <v>RESYS</v>
          </cell>
          <cell r="F24" t="str">
            <v>Cool EIR = F(PLR)</v>
          </cell>
          <cell r="G24" t="str">
            <v>DOE-2</v>
          </cell>
          <cell r="H24">
            <v>0.125</v>
          </cell>
          <cell r="I24">
            <v>0.875</v>
          </cell>
          <cell r="J24">
            <v>0</v>
          </cell>
          <cell r="K24">
            <v>1.5421300000000001E-2</v>
          </cell>
          <cell r="L24">
            <v>0</v>
          </cell>
          <cell r="M24">
            <v>0</v>
          </cell>
          <cell r="N24" t="str">
            <v>CUBIC</v>
          </cell>
          <cell r="O24" t="str">
            <v>PLR</v>
          </cell>
          <cell r="P24" t="str">
            <v>EIR-FPLR</v>
          </cell>
          <cell r="Q24" t="str">
            <v>PLR</v>
          </cell>
          <cell r="R24" t="str">
            <v>n.a.</v>
          </cell>
          <cell r="S24">
            <v>0</v>
          </cell>
          <cell r="T24">
            <v>1</v>
          </cell>
          <cell r="U24" t="str">
            <v>n.a.</v>
          </cell>
          <cell r="V24" t="str">
            <v>n.a.</v>
          </cell>
          <cell r="W24">
            <v>23</v>
          </cell>
        </row>
        <row r="25">
          <cell r="A25" t="str">
            <v>Table 73 - Cooling System Efficiency Part Load Adjustment - Air Source Other</v>
          </cell>
          <cell r="B25">
            <v>74</v>
          </cell>
          <cell r="C25" t="str">
            <v>COOL-EIR-FPLR</v>
          </cell>
          <cell r="D25" t="str">
            <v>SDL-C18</v>
          </cell>
          <cell r="E25" t="str">
            <v>PSZ, PMZS, PVAVS</v>
          </cell>
          <cell r="F25" t="str">
            <v>Cool EIR = F(PLR)</v>
          </cell>
          <cell r="G25" t="str">
            <v>DOE-2</v>
          </cell>
          <cell r="H25">
            <v>0.2012301</v>
          </cell>
          <cell r="I25">
            <v>-3.1217499999999999E-2</v>
          </cell>
          <cell r="J25">
            <v>1.9504979</v>
          </cell>
          <cell r="K25">
            <v>1.49672E-2</v>
          </cell>
          <cell r="L25">
            <v>0</v>
          </cell>
          <cell r="M25">
            <v>0</v>
          </cell>
          <cell r="N25" t="str">
            <v>CUBIC</v>
          </cell>
          <cell r="O25" t="str">
            <v>PLR</v>
          </cell>
          <cell r="P25" t="str">
            <v>EIR-FPLR</v>
          </cell>
          <cell r="Q25" t="str">
            <v>PLR</v>
          </cell>
          <cell r="R25" t="str">
            <v>n.a.</v>
          </cell>
          <cell r="S25">
            <v>0</v>
          </cell>
          <cell r="T25">
            <v>1</v>
          </cell>
          <cell r="U25" t="str">
            <v>n.a.</v>
          </cell>
          <cell r="V25" t="str">
            <v>n.a.</v>
          </cell>
          <cell r="W25">
            <v>24</v>
          </cell>
        </row>
        <row r="26">
          <cell r="A26" t="str">
            <v>Table 74 - Cooling System Efficiency Temperature Adjustment - Water Source HP</v>
          </cell>
          <cell r="B26">
            <v>75</v>
          </cell>
          <cell r="C26" t="str">
            <v>COOL-EIR-FT</v>
          </cell>
          <cell r="D26" t="str">
            <v>SDL-C15</v>
          </cell>
          <cell r="E26" t="str">
            <v>HP</v>
          </cell>
          <cell r="F26" t="str">
            <v>Cool EIR = F(WB,WT)</v>
          </cell>
          <cell r="G26" t="str">
            <v>DOE-2</v>
          </cell>
          <cell r="H26">
            <v>2.0280385000000001</v>
          </cell>
          <cell r="I26">
            <v>-4.2309100000000002E-2</v>
          </cell>
          <cell r="J26">
            <v>3.054E-4</v>
          </cell>
          <cell r="K26">
            <v>1.3045999999999999E-3</v>
          </cell>
          <cell r="L26">
            <v>2.44E-5</v>
          </cell>
          <cell r="M26">
            <v>-1.64E-4</v>
          </cell>
          <cell r="N26" t="str">
            <v>BI-QUAD</v>
          </cell>
          <cell r="O26" t="str">
            <v>WB/WT</v>
          </cell>
          <cell r="P26" t="str">
            <v>EIR-FT</v>
          </cell>
          <cell r="Q26" t="str">
            <v>Twb</v>
          </cell>
          <cell r="R26" t="str">
            <v>Tw</v>
          </cell>
          <cell r="S26">
            <v>30</v>
          </cell>
          <cell r="T26">
            <v>90</v>
          </cell>
          <cell r="U26">
            <v>60</v>
          </cell>
          <cell r="V26">
            <v>120</v>
          </cell>
          <cell r="W26">
            <v>25</v>
          </cell>
        </row>
        <row r="27">
          <cell r="A27" t="str">
            <v>Table 74 - Cooling System Efficiency Temperature Adjustment - Water Source Other</v>
          </cell>
          <cell r="B27">
            <v>75</v>
          </cell>
          <cell r="C27" t="str">
            <v>COOL-EIR-FT</v>
          </cell>
          <cell r="D27" t="str">
            <v>SDL-C14</v>
          </cell>
          <cell r="E27" t="str">
            <v>WTR-CC</v>
          </cell>
          <cell r="F27" t="str">
            <v>Cool EIR = F(WB,EDB)</v>
          </cell>
          <cell r="G27" t="str">
            <v>DOE-2</v>
          </cell>
          <cell r="H27">
            <v>-1.8394759999999999</v>
          </cell>
          <cell r="I27">
            <v>7.5136300000000003E-2</v>
          </cell>
          <cell r="J27">
            <v>-5.6860000000000005E-4</v>
          </cell>
          <cell r="K27">
            <v>3.2439000000000001E-3</v>
          </cell>
          <cell r="L27">
            <v>9.0099999999999995E-5</v>
          </cell>
          <cell r="M27">
            <v>-1.2180000000000001E-4</v>
          </cell>
          <cell r="N27" t="str">
            <v>BI-QUAD</v>
          </cell>
          <cell r="O27" t="str">
            <v>WB/EDB</v>
          </cell>
          <cell r="P27" t="str">
            <v>EIR-FT</v>
          </cell>
          <cell r="Q27" t="str">
            <v>Twb</v>
          </cell>
          <cell r="R27" t="str">
            <v>Tw</v>
          </cell>
          <cell r="S27">
            <v>30</v>
          </cell>
          <cell r="T27">
            <v>90</v>
          </cell>
          <cell r="U27">
            <v>60</v>
          </cell>
          <cell r="V27">
            <v>120</v>
          </cell>
          <cell r="W27">
            <v>26</v>
          </cell>
        </row>
        <row r="28">
          <cell r="A28" t="str">
            <v>Table 74 - Cooling System Efficiency Temperature Adjustment - Air Source PTAC</v>
          </cell>
          <cell r="B28">
            <v>75</v>
          </cell>
          <cell r="C28" t="str">
            <v>COOL-EIR-FT</v>
          </cell>
          <cell r="D28" t="str">
            <v>SDL-C12</v>
          </cell>
          <cell r="E28" t="str">
            <v>PTAC</v>
          </cell>
          <cell r="F28" t="str">
            <v>Cool EIR = F(WB,EDB)</v>
          </cell>
          <cell r="G28" t="str">
            <v>DOE-2</v>
          </cell>
          <cell r="H28">
            <v>-0.65504609999999996</v>
          </cell>
          <cell r="I28">
            <v>3.8891000000000002E-2</v>
          </cell>
          <cell r="J28">
            <v>-1.9249999999999999E-4</v>
          </cell>
          <cell r="K28">
            <v>-8.5506000000000002E-3</v>
          </cell>
          <cell r="L28">
            <v>1.3520000000000001E-4</v>
          </cell>
          <cell r="M28">
            <v>-2.2469999999999999E-4</v>
          </cell>
          <cell r="N28" t="str">
            <v>BI-QUAD</v>
          </cell>
          <cell r="O28" t="str">
            <v>WB/EDB</v>
          </cell>
          <cell r="P28" t="str">
            <v>EIR-FT</v>
          </cell>
          <cell r="Q28" t="str">
            <v>Twb</v>
          </cell>
          <cell r="R28" t="str">
            <v>Todb</v>
          </cell>
          <cell r="S28">
            <v>30</v>
          </cell>
          <cell r="T28">
            <v>90</v>
          </cell>
          <cell r="U28">
            <v>60</v>
          </cell>
          <cell r="V28">
            <v>120</v>
          </cell>
          <cell r="W28">
            <v>27</v>
          </cell>
        </row>
        <row r="29">
          <cell r="A29" t="str">
            <v>Table 74 - Cooling System Efficiency Temperature Adjustment - Air Source Other</v>
          </cell>
          <cell r="B29">
            <v>75</v>
          </cell>
          <cell r="C29" t="str">
            <v>COOL-EIR-FT</v>
          </cell>
          <cell r="D29" t="str">
            <v>SDL-C89</v>
          </cell>
          <cell r="E29" t="str">
            <v>PVVT</v>
          </cell>
          <cell r="F29" t="str">
            <v>Cool EIR = F(WB,EDB)</v>
          </cell>
          <cell r="G29" t="str">
            <v>DOE-2</v>
          </cell>
          <cell r="H29">
            <v>-1.063931</v>
          </cell>
          <cell r="I29">
            <v>0.30658400000000002</v>
          </cell>
          <cell r="J29">
            <v>-1.2689999999999999E-4</v>
          </cell>
          <cell r="K29">
            <v>1.5421300000000001E-2</v>
          </cell>
          <cell r="L29">
            <v>4.9700000000000002E-5</v>
          </cell>
          <cell r="M29">
            <v>-2.096E-4</v>
          </cell>
          <cell r="N29" t="str">
            <v>BI-QUAD</v>
          </cell>
          <cell r="O29" t="str">
            <v>WB/EDB</v>
          </cell>
          <cell r="P29" t="str">
            <v>EIR-FT</v>
          </cell>
          <cell r="Q29" t="str">
            <v>Twb</v>
          </cell>
          <cell r="R29" t="str">
            <v>Todb</v>
          </cell>
          <cell r="S29">
            <v>30</v>
          </cell>
          <cell r="T29">
            <v>90</v>
          </cell>
          <cell r="U29">
            <v>60</v>
          </cell>
          <cell r="V29">
            <v>120</v>
          </cell>
          <cell r="W29">
            <v>28</v>
          </cell>
        </row>
        <row r="30">
          <cell r="A30" t="str">
            <v>Table 76 - Evaporative Cooler Effectiveness Airflow Adjustment - Direct</v>
          </cell>
          <cell r="B30">
            <v>76</v>
          </cell>
          <cell r="G30" t="str">
            <v>DOE-2</v>
          </cell>
          <cell r="H30">
            <v>1.1833</v>
          </cell>
          <cell r="I30">
            <v>-0.25752999999999998</v>
          </cell>
          <cell r="J30">
            <v>7.4245000000000005E-2</v>
          </cell>
          <cell r="K30">
            <v>0</v>
          </cell>
          <cell r="L30">
            <v>0</v>
          </cell>
          <cell r="M30">
            <v>0</v>
          </cell>
          <cell r="N30" t="str">
            <v>QUAD</v>
          </cell>
          <cell r="O30" t="str">
            <v>CFM-PLR</v>
          </cell>
          <cell r="P30" t="str">
            <v>EFF_FFLOW</v>
          </cell>
          <cell r="Q30" t="str">
            <v>PLR</v>
          </cell>
          <cell r="R30" t="str">
            <v>n.a.</v>
          </cell>
          <cell r="S30">
            <v>0</v>
          </cell>
          <cell r="T30">
            <v>1</v>
          </cell>
          <cell r="U30" t="str">
            <v>n.a.</v>
          </cell>
          <cell r="V30" t="str">
            <v>n.a.</v>
          </cell>
          <cell r="W30">
            <v>29</v>
          </cell>
        </row>
        <row r="31">
          <cell r="A31" t="str">
            <v>Table 76 - Evaporative Cooler Effectiveness Airflow Adjustment - Indirect</v>
          </cell>
          <cell r="B31">
            <v>76</v>
          </cell>
          <cell r="G31" t="str">
            <v>DOE-2</v>
          </cell>
          <cell r="H31">
            <v>1.097</v>
          </cell>
          <cell r="I31">
            <v>-0.16506000000000001</v>
          </cell>
          <cell r="J31">
            <v>6.8069000000000005E-2</v>
          </cell>
          <cell r="K31">
            <v>0</v>
          </cell>
          <cell r="L31">
            <v>0</v>
          </cell>
          <cell r="M31">
            <v>0</v>
          </cell>
          <cell r="N31" t="str">
            <v>QUAD</v>
          </cell>
          <cell r="O31" t="str">
            <v>CFM-PLR</v>
          </cell>
          <cell r="P31" t="str">
            <v>EFF_FFLOW</v>
          </cell>
          <cell r="Q31" t="str">
            <v>PLR</v>
          </cell>
          <cell r="R31" t="str">
            <v>n.a.</v>
          </cell>
          <cell r="S31">
            <v>0</v>
          </cell>
          <cell r="T31">
            <v>1</v>
          </cell>
          <cell r="U31" t="str">
            <v>n.a.</v>
          </cell>
          <cell r="V31" t="str">
            <v>n.a.</v>
          </cell>
          <cell r="W31">
            <v>30</v>
          </cell>
        </row>
        <row r="32">
          <cell r="A32" t="str">
            <v>Table 78 - Furnace Efficiency Part Load Adjustment - All Furnaces</v>
          </cell>
          <cell r="B32">
            <v>78</v>
          </cell>
          <cell r="C32" t="str">
            <v>FURNACE-HIR-FPLR</v>
          </cell>
          <cell r="D32" t="str">
            <v>SDL-C111</v>
          </cell>
          <cell r="E32" t="str">
            <v xml:space="preserve">SUM, SZRH, UVT, UHT, FPH, TPFC, FPFC, DDS, SZCI, MZS, TPIU, FPIU, VAVS, RHFS, PVVT, HVSYS, RESYS, CBVAV, PSZ, PMZS, PVAVS, PTAC, PIU, FNSYS1, HP, EVAPCOOL, PTGSD, RESVVT, </v>
          </cell>
          <cell r="F32" t="str">
            <v>Furnace HIR = F(PLR)</v>
          </cell>
          <cell r="G32" t="str">
            <v>DOE-2</v>
          </cell>
          <cell r="H32">
            <v>1.8610000000000002E-2</v>
          </cell>
          <cell r="I32">
            <v>1.094209</v>
          </cell>
          <cell r="J32">
            <v>-0.112819</v>
          </cell>
          <cell r="K32">
            <v>0</v>
          </cell>
          <cell r="L32">
            <v>0</v>
          </cell>
          <cell r="M32">
            <v>0</v>
          </cell>
          <cell r="N32" t="str">
            <v>QUAD</v>
          </cell>
          <cell r="O32" t="str">
            <v>PLR</v>
          </cell>
          <cell r="P32" t="str">
            <v>FHeatPLC</v>
          </cell>
          <cell r="Q32" t="str">
            <v>PLR</v>
          </cell>
          <cell r="R32" t="str">
            <v>n.a.</v>
          </cell>
          <cell r="S32">
            <v>0</v>
          </cell>
          <cell r="T32">
            <v>1</v>
          </cell>
          <cell r="U32" t="str">
            <v>n.a.</v>
          </cell>
          <cell r="V32" t="str">
            <v>n.a.</v>
          </cell>
          <cell r="W32">
            <v>31</v>
          </cell>
        </row>
        <row r="33">
          <cell r="A33" t="str">
            <v>Table 79 - Heat Pump Capacity Temperature Adjustment - Water Source</v>
          </cell>
          <cell r="B33">
            <v>79</v>
          </cell>
          <cell r="C33" t="str">
            <v>HEAT-CAP-FT</v>
          </cell>
          <cell r="D33" t="str">
            <v>SDL-C55</v>
          </cell>
          <cell r="E33" t="str">
            <v>HP</v>
          </cell>
          <cell r="F33" t="str">
            <v>Heat Capacity = F(DB,WT)</v>
          </cell>
          <cell r="G33" t="str">
            <v>DOE-2</v>
          </cell>
          <cell r="H33">
            <v>0.48865340000000002</v>
          </cell>
          <cell r="I33">
            <v>-6.7774000000000003E-3</v>
          </cell>
          <cell r="J33">
            <v>0</v>
          </cell>
          <cell r="K33">
            <v>1.4082300000000001E-2</v>
          </cell>
          <cell r="L33">
            <v>0</v>
          </cell>
          <cell r="M33">
            <v>0</v>
          </cell>
          <cell r="N33" t="str">
            <v>BI-LINEAR</v>
          </cell>
          <cell r="O33" t="str">
            <v>DB/WT</v>
          </cell>
          <cell r="P33" t="str">
            <v>CAP-FT</v>
          </cell>
          <cell r="Q33" t="str">
            <v>Twb</v>
          </cell>
          <cell r="R33" t="str">
            <v>Tw</v>
          </cell>
          <cell r="S33">
            <v>30</v>
          </cell>
          <cell r="T33">
            <v>90</v>
          </cell>
          <cell r="U33">
            <v>60</v>
          </cell>
          <cell r="V33">
            <v>120</v>
          </cell>
          <cell r="W33">
            <v>32</v>
          </cell>
        </row>
        <row r="34">
          <cell r="A34" t="str">
            <v>Table 79 - Heat Pump Capacity Temperature Adjustment - Air Source</v>
          </cell>
          <cell r="B34">
            <v>79</v>
          </cell>
          <cell r="C34" t="str">
            <v>HEAT-CAP-FT</v>
          </cell>
          <cell r="D34" t="str">
            <v>SDL-C52</v>
          </cell>
          <cell r="E34" t="str">
            <v>PSZ, PVAVS, PTAC</v>
          </cell>
          <cell r="F34" t="str">
            <v>Heat Capacity = F(ODB/DB)</v>
          </cell>
          <cell r="G34" t="str">
            <v>DOE-2</v>
          </cell>
          <cell r="H34">
            <v>0.25367139999999999</v>
          </cell>
          <cell r="I34">
            <v>1.0435099999999999E-2</v>
          </cell>
          <cell r="J34">
            <v>1.861E-4</v>
          </cell>
          <cell r="K34">
            <v>-1.5E-6</v>
          </cell>
          <cell r="L34">
            <v>0</v>
          </cell>
          <cell r="M34">
            <v>0</v>
          </cell>
          <cell r="N34" t="str">
            <v>BI-LINEAR</v>
          </cell>
          <cell r="O34" t="str">
            <v>ODB/DB</v>
          </cell>
          <cell r="P34" t="str">
            <v>CAP-FT</v>
          </cell>
          <cell r="Q34" t="str">
            <v>Twb</v>
          </cell>
          <cell r="R34" t="str">
            <v>Todb</v>
          </cell>
          <cell r="S34">
            <v>30</v>
          </cell>
          <cell r="T34">
            <v>90</v>
          </cell>
          <cell r="U34">
            <v>60</v>
          </cell>
          <cell r="V34">
            <v>120</v>
          </cell>
          <cell r="W34">
            <v>33</v>
          </cell>
        </row>
        <row r="35">
          <cell r="A35" t="str">
            <v xml:space="preserve">Table 80 - Heat Pump Efficiency Part Load Adjustment - All </v>
          </cell>
          <cell r="B35">
            <v>80</v>
          </cell>
          <cell r="C35" t="str">
            <v>HEAT-EIR-FPLR</v>
          </cell>
          <cell r="D35" t="str">
            <v>SDL-C65</v>
          </cell>
          <cell r="E35" t="str">
            <v>HP</v>
          </cell>
          <cell r="F35" t="str">
            <v>Heat EIR = F(DB,WT)</v>
          </cell>
          <cell r="G35" t="str">
            <v>DOE-2</v>
          </cell>
          <cell r="H35">
            <v>8.5652199999999998E-2</v>
          </cell>
          <cell r="I35">
            <v>0.93881369999999997</v>
          </cell>
          <cell r="J35">
            <v>-0.18343609999999999</v>
          </cell>
          <cell r="K35">
            <v>0.15897020000000001</v>
          </cell>
          <cell r="L35">
            <v>0</v>
          </cell>
          <cell r="M35">
            <v>0</v>
          </cell>
          <cell r="N35" t="str">
            <v>CUBIC</v>
          </cell>
          <cell r="O35" t="str">
            <v>DB/WT</v>
          </cell>
          <cell r="P35" t="str">
            <v>EIR-FPLR</v>
          </cell>
          <cell r="Q35" t="str">
            <v>PLR</v>
          </cell>
          <cell r="R35" t="str">
            <v>n.a.</v>
          </cell>
          <cell r="S35">
            <v>0</v>
          </cell>
          <cell r="T35">
            <v>1</v>
          </cell>
          <cell r="U35" t="str">
            <v>n.a.</v>
          </cell>
          <cell r="V35" t="str">
            <v>n.a.</v>
          </cell>
          <cell r="W35">
            <v>34</v>
          </cell>
        </row>
        <row r="36">
          <cell r="A36" t="str">
            <v xml:space="preserve">Table 80 - Heat Pump Efficiency Temperature Adjustment - Water Source </v>
          </cell>
          <cell r="B36">
            <v>80</v>
          </cell>
          <cell r="C36" t="str">
            <v>HEAT-EIR-FT</v>
          </cell>
          <cell r="D36" t="str">
            <v>SDL-C107</v>
          </cell>
          <cell r="E36" t="str">
            <v>PVVT</v>
          </cell>
          <cell r="F36" t="str">
            <v>Heat EIR = F(ODB/DB)</v>
          </cell>
          <cell r="G36" t="str">
            <v>DOE-2</v>
          </cell>
          <cell r="H36">
            <v>1.3876101999999999</v>
          </cell>
          <cell r="I36">
            <v>6.0479000000000002E-3</v>
          </cell>
          <cell r="J36">
            <v>0</v>
          </cell>
          <cell r="K36">
            <v>-1.15852E-2</v>
          </cell>
          <cell r="L36">
            <v>0</v>
          </cell>
          <cell r="M36">
            <v>0</v>
          </cell>
          <cell r="N36" t="str">
            <v>BI-LINEAR</v>
          </cell>
          <cell r="O36" t="str">
            <v>ODB/DB</v>
          </cell>
          <cell r="P36" t="str">
            <v>EIR-FT</v>
          </cell>
          <cell r="Q36" t="str">
            <v>Twt</v>
          </cell>
          <cell r="R36" t="str">
            <v>Todb</v>
          </cell>
          <cell r="S36">
            <v>60</v>
          </cell>
          <cell r="T36">
            <v>90</v>
          </cell>
          <cell r="U36">
            <v>60</v>
          </cell>
          <cell r="V36">
            <v>120</v>
          </cell>
          <cell r="W36">
            <v>35</v>
          </cell>
        </row>
        <row r="37">
          <cell r="A37" t="str">
            <v xml:space="preserve">Table 80 - Heat Pump Efficiency Temperature Adjustment - Air Source </v>
          </cell>
          <cell r="B37">
            <v>80</v>
          </cell>
          <cell r="C37" t="str">
            <v>HEAT-EIR-FT</v>
          </cell>
          <cell r="D37" t="str">
            <v>SDL-C57</v>
          </cell>
          <cell r="E37" t="str">
            <v>WTR-CC</v>
          </cell>
          <cell r="F37" t="str">
            <v>Heat EIR = F(DB,WT)</v>
          </cell>
          <cell r="G37" t="str">
            <v>DOE-2</v>
          </cell>
          <cell r="H37">
            <v>2.4600298</v>
          </cell>
          <cell r="I37">
            <v>-0.62253899999999995</v>
          </cell>
          <cell r="J37">
            <v>8.8000000000000003E-4</v>
          </cell>
          <cell r="K37">
            <v>-4.6E-6</v>
          </cell>
          <cell r="L37">
            <v>0</v>
          </cell>
          <cell r="M37">
            <v>0</v>
          </cell>
          <cell r="N37" t="str">
            <v>CUBIC</v>
          </cell>
          <cell r="O37" t="str">
            <v>DB/WT</v>
          </cell>
          <cell r="P37" t="str">
            <v>HEAT-EIR-FT</v>
          </cell>
          <cell r="Q37" t="str">
            <v>Todb/Tdb</v>
          </cell>
          <cell r="R37" t="str">
            <v>n.a.</v>
          </cell>
          <cell r="S37">
            <v>0</v>
          </cell>
          <cell r="T37">
            <v>50</v>
          </cell>
          <cell r="U37" t="str">
            <v>n.a.</v>
          </cell>
          <cell r="V37" t="str">
            <v>n.a.</v>
          </cell>
          <cell r="W37">
            <v>36</v>
          </cell>
        </row>
        <row r="38">
          <cell r="A38" t="str">
            <v>Table 81 - Liquid Desiccant Temperature Adjustment</v>
          </cell>
          <cell r="B38">
            <v>81</v>
          </cell>
          <cell r="C38" t="str">
            <v>DESC-KW-FTW</v>
          </cell>
          <cell r="D38" t="str">
            <v>SDL-C74</v>
          </cell>
          <cell r="E38" t="str">
            <v>SZRH, MZS, SZCI, VAVS, RHFS, PVAVS, HP, CBVAV, PSZ, FNSYS1, PVVT, DDS</v>
          </cell>
          <cell r="F38" t="str">
            <v>Add-on Desiccant Aux. kW = F(T,W)</v>
          </cell>
          <cell r="G38" t="str">
            <v>DOE-2</v>
          </cell>
          <cell r="H38">
            <v>3.5179</v>
          </cell>
          <cell r="I38">
            <v>-5.9316999999999998E-3</v>
          </cell>
          <cell r="J38">
            <v>0</v>
          </cell>
          <cell r="K38">
            <v>4.0400999999999996E-3</v>
          </cell>
          <cell r="L38">
            <v>0</v>
          </cell>
          <cell r="M38">
            <v>0</v>
          </cell>
          <cell r="N38" t="str">
            <v>BI-QUAD</v>
          </cell>
          <cell r="O38" t="str">
            <v>T,W</v>
          </cell>
          <cell r="P38" t="str">
            <v>DESC-T-FTW</v>
          </cell>
          <cell r="Q38" t="str">
            <v>Tea</v>
          </cell>
          <cell r="R38" t="str">
            <v>W</v>
          </cell>
          <cell r="S38">
            <v>60</v>
          </cell>
          <cell r="T38">
            <v>120</v>
          </cell>
          <cell r="U38">
            <v>0</v>
          </cell>
          <cell r="V38">
            <v>1</v>
          </cell>
          <cell r="W38">
            <v>37</v>
          </cell>
        </row>
        <row r="39">
          <cell r="A39" t="str">
            <v>Table 81 - Liquid Desiccant Humidity Ratio Adjustment</v>
          </cell>
          <cell r="B39">
            <v>81</v>
          </cell>
          <cell r="C39" t="str">
            <v>DESC-W-FTW</v>
          </cell>
          <cell r="D39" t="str">
            <v>SDL-C72</v>
          </cell>
          <cell r="E39" t="str">
            <v>SZRH, MZS, SZCI, VAVS, RHFS, PVAVS, HP, CBVAV, PSZ, FNSYS1, PVVT, DDS</v>
          </cell>
          <cell r="F39" t="str">
            <v>Add-on Desiccant Exit Humidity Ratio = F(T,W)</v>
          </cell>
          <cell r="G39" t="str">
            <v>DOE-2</v>
          </cell>
          <cell r="H39">
            <v>11.899399799999999</v>
          </cell>
          <cell r="I39">
            <v>-0.26955800000000002</v>
          </cell>
          <cell r="J39">
            <v>4.4648999999999999E-3</v>
          </cell>
          <cell r="K39">
            <v>8.3052500000000001E-2</v>
          </cell>
          <cell r="L39">
            <v>6.9740000000000004E-4</v>
          </cell>
          <cell r="M39">
            <v>1.5878999999999999E-3</v>
          </cell>
          <cell r="N39" t="str">
            <v>BI-QUAD</v>
          </cell>
          <cell r="O39" t="str">
            <v>T,W</v>
          </cell>
          <cell r="P39" t="str">
            <v>DESC-W-FTW</v>
          </cell>
          <cell r="Q39" t="str">
            <v>Tea</v>
          </cell>
          <cell r="R39" t="str">
            <v>W</v>
          </cell>
          <cell r="S39">
            <v>60</v>
          </cell>
          <cell r="T39">
            <v>120</v>
          </cell>
          <cell r="U39">
            <v>0</v>
          </cell>
          <cell r="V39">
            <v>1</v>
          </cell>
          <cell r="W39">
            <v>38</v>
          </cell>
        </row>
        <row r="40">
          <cell r="A40" t="str">
            <v>Table 81 - Liquid Desiccant Gas Use Adjustment</v>
          </cell>
          <cell r="B40">
            <v>81</v>
          </cell>
          <cell r="C40" t="str">
            <v>DESC-T-FTW</v>
          </cell>
          <cell r="D40" t="str">
            <v>SDL-C71</v>
          </cell>
          <cell r="E40" t="str">
            <v>SZRH, MZS, SZCI, VAVS, RHFS, PVAVS, HP, CBVAV, PSZ, FNSYS1, PVVT, DDS</v>
          </cell>
          <cell r="F40" t="str">
            <v>Add-on Desiccant Exit Temp. = F(T,W)</v>
          </cell>
          <cell r="G40" t="str">
            <v>DOE-2</v>
          </cell>
          <cell r="H40">
            <v>11.5334997</v>
          </cell>
          <cell r="I40">
            <v>0.65867299999999995</v>
          </cell>
          <cell r="J40">
            <v>-1.0280000000000001E-3</v>
          </cell>
          <cell r="K40">
            <v>0.295041</v>
          </cell>
          <cell r="L40">
            <v>-1.7000000000000001E-4</v>
          </cell>
          <cell r="M40">
            <v>-8.7239999999999996E-4</v>
          </cell>
          <cell r="N40" t="str">
            <v>BI-QUAD</v>
          </cell>
          <cell r="O40" t="str">
            <v>T,W</v>
          </cell>
          <cell r="P40" t="str">
            <v>DESC-GAS-FTW</v>
          </cell>
          <cell r="Q40" t="str">
            <v>Tea</v>
          </cell>
          <cell r="R40" t="str">
            <v>W</v>
          </cell>
          <cell r="S40">
            <v>60</v>
          </cell>
          <cell r="T40">
            <v>120</v>
          </cell>
          <cell r="U40">
            <v>0</v>
          </cell>
          <cell r="V40">
            <v>1</v>
          </cell>
          <cell r="W40">
            <v>39</v>
          </cell>
        </row>
        <row r="41">
          <cell r="A41" t="str">
            <v>Table 81 - Liquid Desiccant Electric Use Adjustment</v>
          </cell>
          <cell r="B41">
            <v>81</v>
          </cell>
          <cell r="C41" t="str">
            <v>DESC-GAS-FTW</v>
          </cell>
          <cell r="D41" t="str">
            <v>SDL-C73</v>
          </cell>
          <cell r="E41" t="str">
            <v>SZRH, MZS, SZCI, VAVS, RHFS, PVAVS, HP, CBVAV, PSZ, FNSYS1, PVVT, DDS</v>
          </cell>
          <cell r="F41" t="str">
            <v>Add-on Desiccant Gas Usage = F(T,W)</v>
          </cell>
          <cell r="G41" t="str">
            <v>DOE-2</v>
          </cell>
          <cell r="H41">
            <v>58745.8007813</v>
          </cell>
          <cell r="I41">
            <v>-1134.4899902</v>
          </cell>
          <cell r="J41">
            <v>-3.6676099</v>
          </cell>
          <cell r="K41">
            <v>3874.5900879000001</v>
          </cell>
          <cell r="L41">
            <v>-16962700</v>
          </cell>
          <cell r="M41">
            <v>-13.0732002</v>
          </cell>
          <cell r="N41" t="str">
            <v>BI-QUAD</v>
          </cell>
          <cell r="O41" t="str">
            <v>T,W</v>
          </cell>
          <cell r="P41" t="str">
            <v>DESC-kW-FTW</v>
          </cell>
          <cell r="Q41" t="str">
            <v>Tea</v>
          </cell>
          <cell r="R41" t="str">
            <v>W</v>
          </cell>
          <cell r="S41">
            <v>60</v>
          </cell>
          <cell r="T41">
            <v>120</v>
          </cell>
          <cell r="U41">
            <v>0</v>
          </cell>
          <cell r="V41">
            <v>1</v>
          </cell>
          <cell r="W41">
            <v>40</v>
          </cell>
        </row>
        <row r="42">
          <cell r="A42" t="str">
            <v>Table 86 - Chiller Capacity Temperature Adjustment - Air Cooled - Scroll</v>
          </cell>
          <cell r="B42">
            <v>86</v>
          </cell>
          <cell r="C42" t="str">
            <v>CHLR-CAP-FT</v>
          </cell>
          <cell r="D42" t="str">
            <v>CCAPT51</v>
          </cell>
          <cell r="E42" t="str">
            <v/>
          </cell>
          <cell r="F42" t="str">
            <v>Compression Chiller Capacity = F(TOUT,TIN)</v>
          </cell>
          <cell r="G42" t="str">
            <v>DOE-2</v>
          </cell>
          <cell r="H42">
            <v>0.40070679999999997</v>
          </cell>
          <cell r="I42">
            <v>1.8615400000000001E-2</v>
          </cell>
          <cell r="J42">
            <v>7.1899999999999999E-5</v>
          </cell>
          <cell r="K42">
            <v>1.7729E-3</v>
          </cell>
          <cell r="L42">
            <v>-2.0100000000000001E-5</v>
          </cell>
          <cell r="M42">
            <v>-8.2700000000000004E-5</v>
          </cell>
          <cell r="N42" t="str">
            <v>BI-QUAD</v>
          </cell>
          <cell r="O42" t="str">
            <v>TOUT,TIN</v>
          </cell>
          <cell r="P42" t="str">
            <v>CAP-FT</v>
          </cell>
          <cell r="Q42" t="str">
            <v>Tchws</v>
          </cell>
          <cell r="R42" t="str">
            <v>Todb</v>
          </cell>
          <cell r="S42">
            <v>40</v>
          </cell>
          <cell r="T42">
            <v>50</v>
          </cell>
          <cell r="U42">
            <v>60</v>
          </cell>
          <cell r="V42">
            <v>120</v>
          </cell>
          <cell r="W42">
            <v>41</v>
          </cell>
        </row>
        <row r="43">
          <cell r="A43" t="str">
            <v>Table 86 - Chiller Capacity Temperature Adjustment - Air Cooled - Reciprocating</v>
          </cell>
          <cell r="B43">
            <v>86</v>
          </cell>
          <cell r="C43" t="str">
            <v>CHLR-CAP-FT</v>
          </cell>
          <cell r="D43" t="str">
            <v>CCAPT46</v>
          </cell>
          <cell r="E43" t="str">
            <v/>
          </cell>
          <cell r="F43" t="str">
            <v>Compression Chiller Capacity = F(TOUT,TIN)</v>
          </cell>
          <cell r="G43" t="str">
            <v>DOE-2</v>
          </cell>
          <cell r="H43">
            <v>0.57617289999999999</v>
          </cell>
          <cell r="I43">
            <v>2.0631300000000002E-2</v>
          </cell>
          <cell r="J43">
            <v>7.7600000000000002E-5</v>
          </cell>
          <cell r="K43">
            <v>-3.5117999999999998E-3</v>
          </cell>
          <cell r="L43">
            <v>3.1E-6</v>
          </cell>
          <cell r="M43">
            <v>-7.86E-5</v>
          </cell>
          <cell r="N43" t="str">
            <v>BI-QUAD</v>
          </cell>
          <cell r="O43" t="str">
            <v>TOUT,TIN</v>
          </cell>
          <cell r="P43" t="str">
            <v>CAP-FT</v>
          </cell>
          <cell r="Q43" t="str">
            <v>Tchws</v>
          </cell>
          <cell r="R43" t="str">
            <v>Todb</v>
          </cell>
          <cell r="S43">
            <v>40</v>
          </cell>
          <cell r="T43">
            <v>50</v>
          </cell>
          <cell r="U43">
            <v>60</v>
          </cell>
          <cell r="V43">
            <v>120</v>
          </cell>
          <cell r="W43">
            <v>42</v>
          </cell>
        </row>
        <row r="44">
          <cell r="A44" t="str">
            <v>Table 86 - Chiller Capacity Temperature Adjustment - Air Cooled - Screw</v>
          </cell>
          <cell r="B44">
            <v>86</v>
          </cell>
          <cell r="G44" t="str">
            <v xml:space="preserve">ECB CS </v>
          </cell>
          <cell r="H44">
            <v>-9.4648990000000002E-2</v>
          </cell>
          <cell r="I44">
            <v>3.8340699999999998E-2</v>
          </cell>
          <cell r="J44">
            <v>-9.2050000000000001E-5</v>
          </cell>
          <cell r="K44">
            <v>3.78007E-3</v>
          </cell>
          <cell r="L44">
            <v>-1.375E-5</v>
          </cell>
          <cell r="M44">
            <v>-1.5464E-4</v>
          </cell>
          <cell r="N44" t="str">
            <v>BI-QUAD</v>
          </cell>
          <cell r="P44" t="str">
            <v>CAP-FT</v>
          </cell>
          <cell r="Q44" t="str">
            <v>Tchws</v>
          </cell>
          <cell r="R44" t="str">
            <v>Todb</v>
          </cell>
          <cell r="S44">
            <v>40</v>
          </cell>
          <cell r="T44">
            <v>50</v>
          </cell>
          <cell r="U44">
            <v>60</v>
          </cell>
          <cell r="V44">
            <v>120</v>
          </cell>
          <cell r="W44">
            <v>43</v>
          </cell>
        </row>
        <row r="45">
          <cell r="A45" t="str">
            <v>Table 87 - Chiller Capacity Temperature Adjustment - Water Cooled - Scroll</v>
          </cell>
          <cell r="B45">
            <v>87</v>
          </cell>
          <cell r="C45" t="str">
            <v>CHLR-CAP-FT</v>
          </cell>
          <cell r="D45" t="str">
            <v>CCAPT49</v>
          </cell>
          <cell r="E45" t="str">
            <v/>
          </cell>
          <cell r="F45" t="str">
            <v>Compression Chiller Capacity = F(TOUT,TIN)</v>
          </cell>
          <cell r="G45" t="str">
            <v>DOE-2</v>
          </cell>
          <cell r="H45">
            <v>0.33269589999999999</v>
          </cell>
          <cell r="I45">
            <v>7.2911E-3</v>
          </cell>
          <cell r="J45">
            <v>-4.9930000000000005E-4</v>
          </cell>
          <cell r="K45">
            <v>1.5989799999999998E-2</v>
          </cell>
          <cell r="L45">
            <v>-2.8249999999999998E-4</v>
          </cell>
          <cell r="M45">
            <v>5.2340000000000004E-4</v>
          </cell>
          <cell r="N45" t="str">
            <v>BI-QUAD</v>
          </cell>
          <cell r="O45" t="str">
            <v>TOUT,TIN</v>
          </cell>
          <cell r="P45" t="str">
            <v>CAP-FT</v>
          </cell>
          <cell r="Q45" t="str">
            <v>Tchws</v>
          </cell>
          <cell r="R45" t="str">
            <v>Tcws</v>
          </cell>
          <cell r="S45">
            <v>40</v>
          </cell>
          <cell r="T45">
            <v>50</v>
          </cell>
          <cell r="U45">
            <v>60</v>
          </cell>
          <cell r="V45">
            <v>90</v>
          </cell>
          <cell r="W45">
            <v>44</v>
          </cell>
        </row>
        <row r="46">
          <cell r="A46" t="str">
            <v>Table 87 - Chiller Capacity Temperature Adjustment - Water Cooled - Reciprocating</v>
          </cell>
          <cell r="B46">
            <v>87</v>
          </cell>
          <cell r="C46" t="str">
            <v>CHLR-CAP-FT</v>
          </cell>
          <cell r="D46" t="str">
            <v>CCAPT52</v>
          </cell>
          <cell r="E46" t="str">
            <v/>
          </cell>
          <cell r="F46" t="str">
            <v>Compression Chiller Capacity = F(TOUT,TIN)</v>
          </cell>
          <cell r="G46" t="str">
            <v>DOE-2</v>
          </cell>
          <cell r="H46">
            <v>0.36131449999999998</v>
          </cell>
          <cell r="I46">
            <v>1.85547E-2</v>
          </cell>
          <cell r="J46">
            <v>3.01E-5</v>
          </cell>
          <cell r="K46">
            <v>9.3590000000000003E-4</v>
          </cell>
          <cell r="L46">
            <v>-1.5099999999999999E-5</v>
          </cell>
          <cell r="M46">
            <v>-5.4799999999999997E-5</v>
          </cell>
          <cell r="N46" t="str">
            <v>BI-QUAD</v>
          </cell>
          <cell r="O46" t="str">
            <v>TOUT,TIN</v>
          </cell>
          <cell r="P46" t="str">
            <v>CAP-FT</v>
          </cell>
          <cell r="Q46" t="str">
            <v>Tchws</v>
          </cell>
          <cell r="R46" t="str">
            <v>Tcws</v>
          </cell>
          <cell r="S46">
            <v>40</v>
          </cell>
          <cell r="T46">
            <v>50</v>
          </cell>
          <cell r="U46">
            <v>60</v>
          </cell>
          <cell r="V46">
            <v>90</v>
          </cell>
          <cell r="W46">
            <v>45</v>
          </cell>
        </row>
        <row r="47">
          <cell r="A47" t="str">
            <v>Table 87 - Chiller Capacity Temperature Adjustment - Water Cooled - Screw</v>
          </cell>
          <cell r="B47">
            <v>87</v>
          </cell>
          <cell r="C47" t="str">
            <v>CHLR-CAP-FT</v>
          </cell>
          <cell r="D47" t="str">
            <v>CCAPT48</v>
          </cell>
          <cell r="E47" t="str">
            <v/>
          </cell>
          <cell r="F47" t="str">
            <v>Compression Chiller Capacity = F(TOUT,TIN)</v>
          </cell>
          <cell r="G47" t="str">
            <v>DOE-2</v>
          </cell>
          <cell r="H47">
            <v>0.58531420000000001</v>
          </cell>
          <cell r="I47">
            <v>1.5395900000000001E-2</v>
          </cell>
          <cell r="J47">
            <v>7.2899999999999997E-5</v>
          </cell>
          <cell r="K47">
            <v>-2.1245999999999999E-3</v>
          </cell>
          <cell r="L47">
            <v>-7.0999999999999998E-6</v>
          </cell>
          <cell r="M47">
            <v>-4.5899999999999998E-5</v>
          </cell>
          <cell r="N47" t="str">
            <v>BI-QUAD</v>
          </cell>
          <cell r="O47" t="str">
            <v>TOUT,TIN</v>
          </cell>
          <cell r="P47" t="str">
            <v>CAP-FT</v>
          </cell>
          <cell r="Q47" t="str">
            <v>Tchws</v>
          </cell>
          <cell r="R47" t="str">
            <v>Tcws</v>
          </cell>
          <cell r="S47">
            <v>40</v>
          </cell>
          <cell r="T47">
            <v>50</v>
          </cell>
          <cell r="U47">
            <v>60</v>
          </cell>
          <cell r="V47">
            <v>90</v>
          </cell>
          <cell r="W47">
            <v>46</v>
          </cell>
        </row>
        <row r="48">
          <cell r="A48" t="str">
            <v>Table 87 - Chiller Capacity Temperature Adjustment - Water Cooled - Centrifugal</v>
          </cell>
          <cell r="B48">
            <v>87</v>
          </cell>
          <cell r="G48" t="str">
            <v xml:space="preserve">ECB CS </v>
          </cell>
          <cell r="H48">
            <v>-0.29861976000000001</v>
          </cell>
          <cell r="I48">
            <v>2.9960759999999999E-2</v>
          </cell>
          <cell r="J48">
            <v>-8.0124999999999999E-4</v>
          </cell>
          <cell r="K48">
            <v>1.7362679999999998E-2</v>
          </cell>
          <cell r="L48">
            <v>-3.2605999999999998E-4</v>
          </cell>
          <cell r="M48">
            <v>6.3139000000000001E-4</v>
          </cell>
          <cell r="N48" t="str">
            <v>BI-QUAD</v>
          </cell>
          <cell r="P48" t="str">
            <v>CAP-FT</v>
          </cell>
          <cell r="Q48" t="str">
            <v>Tchws</v>
          </cell>
          <cell r="R48" t="str">
            <v>Tcws</v>
          </cell>
          <cell r="S48">
            <v>40</v>
          </cell>
          <cell r="T48">
            <v>50</v>
          </cell>
          <cell r="U48">
            <v>60</v>
          </cell>
          <cell r="V48">
            <v>90</v>
          </cell>
          <cell r="W48">
            <v>47</v>
          </cell>
        </row>
        <row r="49">
          <cell r="A49" t="str">
            <v>Table 88 - Chiller Capacity Temperature Adjustment - Single Stage Absorption</v>
          </cell>
          <cell r="B49">
            <v>88</v>
          </cell>
          <cell r="C49" t="str">
            <v>ABSOR_-CAP-FT</v>
          </cell>
          <cell r="D49" t="str">
            <v>ACAPT1</v>
          </cell>
          <cell r="E49" t="str">
            <v/>
          </cell>
          <cell r="F49" t="str">
            <v>Absorption Chiller Capacity = F(TOUT,TIN)</v>
          </cell>
          <cell r="G49" t="str">
            <v>DOE-2</v>
          </cell>
          <cell r="H49">
            <v>0.72341200000000005</v>
          </cell>
          <cell r="I49">
            <v>7.9006000000000007E-2</v>
          </cell>
          <cell r="J49">
            <v>-8.9700000000000001E-4</v>
          </cell>
          <cell r="K49">
            <v>-2.5284999999999998E-2</v>
          </cell>
          <cell r="L49">
            <v>-4.8000000000000001E-5</v>
          </cell>
          <cell r="M49">
            <v>2.7599999999999999E-4</v>
          </cell>
          <cell r="N49" t="str">
            <v>BI-QUAD</v>
          </cell>
          <cell r="O49" t="str">
            <v>TOUT,TIN</v>
          </cell>
          <cell r="P49" t="str">
            <v>CAP-FT</v>
          </cell>
          <cell r="Q49" t="str">
            <v>Tchws</v>
          </cell>
          <cell r="R49" t="str">
            <v>Tcws</v>
          </cell>
          <cell r="S49">
            <v>40</v>
          </cell>
          <cell r="T49">
            <v>50</v>
          </cell>
          <cell r="U49">
            <v>60</v>
          </cell>
          <cell r="V49">
            <v>90</v>
          </cell>
          <cell r="W49">
            <v>48</v>
          </cell>
        </row>
        <row r="50">
          <cell r="A50" t="str">
            <v>Table 88 - Chiller Capacity Temperature Adjustment - Double Stage Absorption</v>
          </cell>
          <cell r="B50">
            <v>88</v>
          </cell>
          <cell r="C50" t="str">
            <v>ABSOR_-CAP-FT</v>
          </cell>
          <cell r="D50" t="str">
            <v>ACAPT2</v>
          </cell>
          <cell r="E50" t="str">
            <v/>
          </cell>
          <cell r="F50" t="str">
            <v>Absorption Chiller Capacity = F(TOUT,TIN)</v>
          </cell>
          <cell r="G50" t="str">
            <v>DOE-2</v>
          </cell>
          <cell r="H50">
            <v>-0.81603899999999996</v>
          </cell>
          <cell r="I50">
            <v>-3.8706999999999998E-2</v>
          </cell>
          <cell r="J50">
            <v>4.4999999999999999E-4</v>
          </cell>
          <cell r="K50">
            <v>7.1490999999999999E-2</v>
          </cell>
          <cell r="L50">
            <v>-6.3599999999999996E-4</v>
          </cell>
          <cell r="M50">
            <v>3.1199999999999999E-4</v>
          </cell>
          <cell r="N50" t="str">
            <v>BI-QUAD</v>
          </cell>
          <cell r="O50" t="str">
            <v>TOUT,TIN</v>
          </cell>
          <cell r="P50" t="str">
            <v>CAP-FT</v>
          </cell>
          <cell r="Q50" t="str">
            <v>Tchws</v>
          </cell>
          <cell r="R50" t="str">
            <v>Tcws</v>
          </cell>
          <cell r="S50">
            <v>40</v>
          </cell>
          <cell r="T50">
            <v>50</v>
          </cell>
          <cell r="U50">
            <v>60</v>
          </cell>
          <cell r="V50">
            <v>90</v>
          </cell>
          <cell r="W50">
            <v>49</v>
          </cell>
        </row>
        <row r="51">
          <cell r="A51" t="str">
            <v>Table 88 - Chiller Capacity Temperature Adjustment - Direct Fired Absorption</v>
          </cell>
          <cell r="B51">
            <v>88</v>
          </cell>
          <cell r="C51" t="str">
            <v>ABSOR_-CAP-FT</v>
          </cell>
          <cell r="D51" t="str">
            <v>ACAPT3</v>
          </cell>
          <cell r="E51" t="str">
            <v/>
          </cell>
          <cell r="F51" t="str">
            <v>Absorption Chiller Capacity = F(TOUT,TIN)</v>
          </cell>
          <cell r="G51" t="str">
            <v>DOE-2</v>
          </cell>
          <cell r="H51">
            <v>1</v>
          </cell>
          <cell r="I51">
            <v>0</v>
          </cell>
          <cell r="J51">
            <v>0</v>
          </cell>
          <cell r="K51">
            <v>0</v>
          </cell>
          <cell r="L51">
            <v>0</v>
          </cell>
          <cell r="M51">
            <v>0</v>
          </cell>
          <cell r="N51" t="str">
            <v>BI-QUAD</v>
          </cell>
          <cell r="O51" t="str">
            <v>TOUT,TIN</v>
          </cell>
          <cell r="P51" t="str">
            <v>CAP-FT</v>
          </cell>
          <cell r="Q51" t="str">
            <v>Tchws</v>
          </cell>
          <cell r="R51" t="str">
            <v>Tcws</v>
          </cell>
          <cell r="S51">
            <v>40</v>
          </cell>
          <cell r="T51">
            <v>50</v>
          </cell>
          <cell r="U51">
            <v>60</v>
          </cell>
          <cell r="V51">
            <v>90</v>
          </cell>
          <cell r="W51">
            <v>50</v>
          </cell>
        </row>
        <row r="52">
          <cell r="A52" t="str">
            <v>Table 88 - Chiller Capacity Temperature Adjustment - Engine Driven Chiller</v>
          </cell>
          <cell r="B52">
            <v>88</v>
          </cell>
          <cell r="G52" t="str">
            <v xml:space="preserve">ECB CS </v>
          </cell>
          <cell r="H52">
            <v>0.57359700000000002</v>
          </cell>
          <cell r="I52">
            <v>1.8680200000000001E-2</v>
          </cell>
          <cell r="J52">
            <v>0</v>
          </cell>
          <cell r="K52">
            <v>-4.6532500000000003E-3</v>
          </cell>
          <cell r="L52">
            <v>0</v>
          </cell>
          <cell r="M52">
            <v>0</v>
          </cell>
          <cell r="N52" t="str">
            <v>BI-QUAD</v>
          </cell>
          <cell r="P52" t="str">
            <v>CAP-FT</v>
          </cell>
          <cell r="Q52" t="str">
            <v>Tchws</v>
          </cell>
          <cell r="R52" t="str">
            <v>Tcws</v>
          </cell>
          <cell r="S52">
            <v>40</v>
          </cell>
          <cell r="T52">
            <v>50</v>
          </cell>
          <cell r="U52">
            <v>60</v>
          </cell>
          <cell r="V52">
            <v>90</v>
          </cell>
          <cell r="W52">
            <v>51</v>
          </cell>
        </row>
        <row r="53">
          <cell r="A53" t="str">
            <v>Table 89 - Chiller Efficiency Temperature Adjustment - Air Cooled - Scroll</v>
          </cell>
          <cell r="B53">
            <v>89</v>
          </cell>
          <cell r="C53" t="str">
            <v>CHLR-EIR-FT</v>
          </cell>
          <cell r="D53" t="str">
            <v>EIRT51</v>
          </cell>
          <cell r="E53" t="str">
            <v/>
          </cell>
          <cell r="F53" t="str">
            <v>Compression Chiller EIR = F(TOUT,TIN)</v>
          </cell>
          <cell r="G53" t="str">
            <v>DOE-2</v>
          </cell>
          <cell r="H53">
            <v>0.99006550000000004</v>
          </cell>
          <cell r="I53">
            <v>-5.8414000000000001E-3</v>
          </cell>
          <cell r="J53">
            <v>1.6449999999999999E-4</v>
          </cell>
          <cell r="K53">
            <v>-6.6112999999999996E-3</v>
          </cell>
          <cell r="L53">
            <v>1.6799999999999999E-4</v>
          </cell>
          <cell r="M53">
            <v>-2.2499999999999999E-4</v>
          </cell>
          <cell r="N53" t="str">
            <v>BI-QUAD</v>
          </cell>
          <cell r="O53" t="str">
            <v>TOUT,TIN</v>
          </cell>
          <cell r="P53" t="str">
            <v>EIR-FT</v>
          </cell>
          <cell r="Q53" t="str">
            <v>Tchws</v>
          </cell>
          <cell r="R53" t="str">
            <v>Todb</v>
          </cell>
          <cell r="S53">
            <v>40</v>
          </cell>
          <cell r="T53">
            <v>50</v>
          </cell>
          <cell r="U53">
            <v>60</v>
          </cell>
          <cell r="V53">
            <v>120</v>
          </cell>
          <cell r="W53">
            <v>52</v>
          </cell>
        </row>
        <row r="54">
          <cell r="A54" t="str">
            <v>Table 89 - Chiller Efficiency Temperature Adjustment - Air Cooled - Reciprocating</v>
          </cell>
          <cell r="B54">
            <v>89</v>
          </cell>
          <cell r="C54" t="str">
            <v>CHLR-EIR-FT</v>
          </cell>
          <cell r="D54" t="str">
            <v>EIRT46</v>
          </cell>
          <cell r="E54" t="str">
            <v/>
          </cell>
          <cell r="F54" t="str">
            <v>Compression Chiller EIR = F(TOUT,TIN)</v>
          </cell>
          <cell r="G54" t="str">
            <v>DOE-2</v>
          </cell>
          <cell r="H54">
            <v>0.66534400000000005</v>
          </cell>
          <cell r="I54">
            <v>-1.38382E-2</v>
          </cell>
          <cell r="J54">
            <v>1.473E-4</v>
          </cell>
          <cell r="K54">
            <v>7.1279999999999998E-3</v>
          </cell>
          <cell r="L54">
            <v>4.57E-5</v>
          </cell>
          <cell r="M54">
            <v>-1.032E-4</v>
          </cell>
          <cell r="N54" t="str">
            <v>BI-QUAD</v>
          </cell>
          <cell r="O54" t="str">
            <v>TOUT,TIN</v>
          </cell>
          <cell r="P54" t="str">
            <v>EIR-FT</v>
          </cell>
          <cell r="Q54" t="str">
            <v>Tchws</v>
          </cell>
          <cell r="R54" t="str">
            <v>Todb</v>
          </cell>
          <cell r="S54">
            <v>40</v>
          </cell>
          <cell r="T54">
            <v>50</v>
          </cell>
          <cell r="U54">
            <v>60</v>
          </cell>
          <cell r="V54">
            <v>120</v>
          </cell>
          <cell r="W54">
            <v>53</v>
          </cell>
        </row>
        <row r="55">
          <cell r="A55" t="str">
            <v>Table 89 - Chiller Efficiency Temperature Adjustment - Air Cooled - Screw</v>
          </cell>
          <cell r="B55">
            <v>89</v>
          </cell>
          <cell r="C55" t="str">
            <v>CHLR-EIR-FT</v>
          </cell>
          <cell r="D55" t="str">
            <v>EIRT47</v>
          </cell>
          <cell r="E55" t="str">
            <v/>
          </cell>
          <cell r="F55" t="str">
            <v>Compression Chiller EIR = F(TOUT,TIN)</v>
          </cell>
          <cell r="G55" t="str">
            <v>DOE-2</v>
          </cell>
          <cell r="H55">
            <v>0.1354563</v>
          </cell>
          <cell r="I55">
            <v>2.2929399999999999E-2</v>
          </cell>
          <cell r="J55">
            <v>-1.6100000000000001E-4</v>
          </cell>
          <cell r="K55">
            <v>-2.3538999999999999E-3</v>
          </cell>
          <cell r="L55">
            <v>1.2990000000000001E-4</v>
          </cell>
          <cell r="M55">
            <v>-1.8679999999999999E-4</v>
          </cell>
          <cell r="N55" t="str">
            <v>BI-QUAD</v>
          </cell>
          <cell r="O55" t="str">
            <v>TOUT,TIN</v>
          </cell>
          <cell r="P55" t="str">
            <v>EIR-FT</v>
          </cell>
          <cell r="Q55" t="str">
            <v>Tchws</v>
          </cell>
          <cell r="R55" t="str">
            <v>Todb</v>
          </cell>
          <cell r="S55">
            <v>40</v>
          </cell>
          <cell r="T55">
            <v>50</v>
          </cell>
          <cell r="U55">
            <v>60</v>
          </cell>
          <cell r="V55">
            <v>120</v>
          </cell>
          <cell r="W55">
            <v>54</v>
          </cell>
        </row>
        <row r="56">
          <cell r="A56" t="str">
            <v>Table 90 - Chiller Efficiency Temperature Adjustment - Water Cooled - Scroll</v>
          </cell>
          <cell r="B56">
            <v>90</v>
          </cell>
          <cell r="C56" t="str">
            <v>CHLR-EIR-FT</v>
          </cell>
          <cell r="D56" t="str">
            <v>EIRT52</v>
          </cell>
          <cell r="E56" t="str">
            <v/>
          </cell>
          <cell r="F56" t="str">
            <v>Compression Chiller EIR = F(TOUT,TIN)</v>
          </cell>
          <cell r="G56" t="str">
            <v>DOE-2</v>
          </cell>
          <cell r="H56">
            <v>1.0012143</v>
          </cell>
          <cell r="I56">
            <v>-1.0269800000000001E-2</v>
          </cell>
          <cell r="J56">
            <v>1.6699999999999999E-4</v>
          </cell>
          <cell r="K56">
            <v>-1.2813E-3</v>
          </cell>
          <cell r="L56">
            <v>1.461E-4</v>
          </cell>
          <cell r="M56">
            <v>-2.195E-4</v>
          </cell>
          <cell r="N56" t="str">
            <v>BI-QUAD</v>
          </cell>
          <cell r="O56" t="str">
            <v>TOUT,TIN</v>
          </cell>
          <cell r="P56" t="str">
            <v>EIR-FT</v>
          </cell>
          <cell r="Q56" t="str">
            <v>Tchws</v>
          </cell>
          <cell r="R56" t="str">
            <v>Tcws</v>
          </cell>
          <cell r="S56">
            <v>40</v>
          </cell>
          <cell r="T56">
            <v>50</v>
          </cell>
          <cell r="U56">
            <v>60</v>
          </cell>
          <cell r="V56">
            <v>90</v>
          </cell>
          <cell r="W56">
            <v>55</v>
          </cell>
        </row>
        <row r="57">
          <cell r="A57" t="str">
            <v>Table 90 - Chiller Efficiency Temperature Adjustment - Water Cooled - Reciprocating</v>
          </cell>
          <cell r="B57">
            <v>90</v>
          </cell>
          <cell r="C57" t="str">
            <v>CHLR-EIR-FT</v>
          </cell>
          <cell r="D57" t="str">
            <v>CS-1_EIR_FT</v>
          </cell>
          <cell r="E57" t="str">
            <v/>
          </cell>
          <cell r="F57" t="str">
            <v>Compression Chiller EIR = F(TOUT,TIN)</v>
          </cell>
          <cell r="G57" t="str">
            <v>DOE-2</v>
          </cell>
          <cell r="H57">
            <v>0.46140040530282345</v>
          </cell>
          <cell r="I57">
            <v>-8.8215617077951943E-3</v>
          </cell>
          <cell r="J57">
            <v>8.2225051880013638E-5</v>
          </cell>
          <cell r="K57">
            <v>9.2660668508020381E-3</v>
          </cell>
          <cell r="L57">
            <v>5.7221031928888746E-5</v>
          </cell>
          <cell r="M57">
            <v>-1.1594028130290749E-4</v>
          </cell>
          <cell r="N57" t="str">
            <v>BI-QUAD</v>
          </cell>
          <cell r="O57" t="str">
            <v>TOUT,TIN</v>
          </cell>
          <cell r="P57" t="str">
            <v>EIR-FT</v>
          </cell>
          <cell r="Q57" t="str">
            <v>Tchws</v>
          </cell>
          <cell r="R57" t="str">
            <v>Tcws</v>
          </cell>
          <cell r="S57">
            <v>40</v>
          </cell>
          <cell r="T57">
            <v>50</v>
          </cell>
          <cell r="U57">
            <v>60</v>
          </cell>
          <cell r="V57">
            <v>90</v>
          </cell>
          <cell r="W57">
            <v>56</v>
          </cell>
        </row>
        <row r="58">
          <cell r="A58" t="str">
            <v>Table 90 - Chiller Efficiency Temperature Adjustment - Water Cooled - Screw</v>
          </cell>
          <cell r="B58">
            <v>90</v>
          </cell>
          <cell r="C58" t="str">
            <v>CHLR-EIR-FT</v>
          </cell>
          <cell r="D58" t="str">
            <v>EIRT49</v>
          </cell>
          <cell r="E58" t="str">
            <v/>
          </cell>
          <cell r="F58" t="str">
            <v>Compression Chiller EIR = F(TOUT,TIN)</v>
          </cell>
          <cell r="G58" t="str">
            <v>DOE-2</v>
          </cell>
          <cell r="H58">
            <v>0.66625400000000001</v>
          </cell>
          <cell r="I58">
            <v>6.8579999999999997E-4</v>
          </cell>
          <cell r="J58">
            <v>2.8489999999999999E-4</v>
          </cell>
          <cell r="K58">
            <v>-3.4166999999999999E-3</v>
          </cell>
          <cell r="L58">
            <v>2.5480000000000001E-4</v>
          </cell>
          <cell r="M58">
            <v>-4.819E-4</v>
          </cell>
          <cell r="N58" t="str">
            <v>BI-QUAD</v>
          </cell>
          <cell r="O58" t="str">
            <v>TOUT,TIN</v>
          </cell>
          <cell r="P58" t="str">
            <v>EIR-FT</v>
          </cell>
          <cell r="Q58" t="str">
            <v>Tchws</v>
          </cell>
          <cell r="R58" t="str">
            <v>Tcws</v>
          </cell>
          <cell r="S58">
            <v>40</v>
          </cell>
          <cell r="T58">
            <v>50</v>
          </cell>
          <cell r="U58">
            <v>60</v>
          </cell>
          <cell r="V58">
            <v>90</v>
          </cell>
          <cell r="W58">
            <v>57</v>
          </cell>
        </row>
        <row r="59">
          <cell r="A59" t="str">
            <v>Table 90 - Chiller Efficiency Temperature Adjustment - Water Cooled - Centrifugal</v>
          </cell>
          <cell r="B59">
            <v>90</v>
          </cell>
          <cell r="C59" t="str">
            <v>CHLR-EIR-FT</v>
          </cell>
          <cell r="D59" t="str">
            <v>EIRT50</v>
          </cell>
          <cell r="E59" t="str">
            <v/>
          </cell>
          <cell r="F59" t="str">
            <v>Compression Chiller EIR = F(TOUT,TIN)</v>
          </cell>
          <cell r="G59" t="str">
            <v>DOE-2</v>
          </cell>
          <cell r="H59">
            <v>0.51777189999999995</v>
          </cell>
          <cell r="I59">
            <v>-4.0036000000000004E-3</v>
          </cell>
          <cell r="J59">
            <v>2.02E-5</v>
          </cell>
          <cell r="K59">
            <v>6.9879E-3</v>
          </cell>
          <cell r="L59">
            <v>8.2899999999999996E-5</v>
          </cell>
          <cell r="M59">
            <v>-1.5459999999999999E-4</v>
          </cell>
          <cell r="N59" t="str">
            <v>BI-QUAD</v>
          </cell>
          <cell r="O59" t="str">
            <v>TOUT,TIN</v>
          </cell>
          <cell r="P59" t="str">
            <v>EIR-FT</v>
          </cell>
          <cell r="Q59" t="str">
            <v>Tchws</v>
          </cell>
          <cell r="R59" t="str">
            <v>Tcws</v>
          </cell>
          <cell r="S59">
            <v>40</v>
          </cell>
          <cell r="T59">
            <v>50</v>
          </cell>
          <cell r="U59">
            <v>60</v>
          </cell>
          <cell r="V59">
            <v>90</v>
          </cell>
          <cell r="W59">
            <v>58</v>
          </cell>
        </row>
        <row r="60">
          <cell r="A60" t="str">
            <v>Table 91 - Chiller Efficiency Part Load Adjustment - Air Cooled - Scroll</v>
          </cell>
          <cell r="B60">
            <v>91</v>
          </cell>
          <cell r="C60" t="str">
            <v>CHLR-EIR-FPLR</v>
          </cell>
          <cell r="D60" t="str">
            <v>EIRPLR51</v>
          </cell>
          <cell r="E60" t="str">
            <v/>
          </cell>
          <cell r="F60" t="str">
            <v>Compression Chiller EIR = F(PLR)</v>
          </cell>
          <cell r="G60" t="str">
            <v>DOE-2</v>
          </cell>
          <cell r="H60">
            <v>6.36911E-2</v>
          </cell>
          <cell r="I60">
            <v>0.58488300000000004</v>
          </cell>
          <cell r="J60">
            <v>0.35280270000000002</v>
          </cell>
          <cell r="K60">
            <v>0</v>
          </cell>
          <cell r="L60">
            <v>0</v>
          </cell>
          <cell r="M60">
            <v>0</v>
          </cell>
          <cell r="N60" t="str">
            <v>QUAD</v>
          </cell>
          <cell r="O60" t="str">
            <v>PLR</v>
          </cell>
          <cell r="P60" t="str">
            <v>EIR-FT</v>
          </cell>
          <cell r="Q60" t="str">
            <v>PLR</v>
          </cell>
          <cell r="R60" t="str">
            <v>n.a.</v>
          </cell>
          <cell r="S60">
            <v>0</v>
          </cell>
          <cell r="T60">
            <v>1</v>
          </cell>
          <cell r="U60" t="str">
            <v>n.a.</v>
          </cell>
          <cell r="V60" t="str">
            <v>n.a.</v>
          </cell>
          <cell r="W60">
            <v>59</v>
          </cell>
        </row>
        <row r="61">
          <cell r="A61" t="str">
            <v>Table 91 - Chiller Efficiency Part Load Adjustment - Air Cooled - Reciprocating</v>
          </cell>
          <cell r="B61">
            <v>91</v>
          </cell>
          <cell r="C61" t="str">
            <v>CHLR-EIR-FPLR</v>
          </cell>
          <cell r="D61" t="str">
            <v>EIRPLR46</v>
          </cell>
          <cell r="E61" t="str">
            <v/>
          </cell>
          <cell r="F61" t="str">
            <v>Compression Chiller EIR = F(PLR)</v>
          </cell>
          <cell r="G61" t="str">
            <v>DOE-2</v>
          </cell>
          <cell r="H61">
            <v>0.11443739999999999</v>
          </cell>
          <cell r="I61">
            <v>0.54593340000000001</v>
          </cell>
          <cell r="J61">
            <v>0.34229860000000001</v>
          </cell>
          <cell r="K61">
            <v>0</v>
          </cell>
          <cell r="L61">
            <v>0</v>
          </cell>
          <cell r="M61">
            <v>0</v>
          </cell>
          <cell r="N61" t="str">
            <v>QUAD</v>
          </cell>
          <cell r="O61" t="str">
            <v>PLR</v>
          </cell>
          <cell r="P61" t="str">
            <v>EIR-FT</v>
          </cell>
          <cell r="Q61" t="str">
            <v>PLR</v>
          </cell>
          <cell r="R61" t="str">
            <v>n.a.</v>
          </cell>
          <cell r="S61">
            <v>0</v>
          </cell>
          <cell r="T61">
            <v>1</v>
          </cell>
          <cell r="U61" t="str">
            <v>n.a.</v>
          </cell>
          <cell r="V61" t="str">
            <v>n.a.</v>
          </cell>
          <cell r="W61">
            <v>60</v>
          </cell>
        </row>
        <row r="62">
          <cell r="A62" t="str">
            <v>Table 91 - Chiller Efficiency Part Load Adjustment - Air Cooled - Screw</v>
          </cell>
          <cell r="B62">
            <v>91</v>
          </cell>
          <cell r="C62" t="str">
            <v>CHLR-EIR-FPLR</v>
          </cell>
          <cell r="D62" t="str">
            <v>EIRPLR47</v>
          </cell>
          <cell r="E62" t="str">
            <v/>
          </cell>
          <cell r="F62" t="str">
            <v>Compression Chiller EIR = F(PLR)</v>
          </cell>
          <cell r="G62" t="str">
            <v>DOE-2</v>
          </cell>
          <cell r="H62">
            <v>3.6487199999999997E-2</v>
          </cell>
          <cell r="I62">
            <v>0.73474289999999998</v>
          </cell>
          <cell r="J62">
            <v>0.21994739999999999</v>
          </cell>
          <cell r="K62">
            <v>0</v>
          </cell>
          <cell r="L62">
            <v>0</v>
          </cell>
          <cell r="M62">
            <v>0</v>
          </cell>
          <cell r="N62" t="str">
            <v>QUAD</v>
          </cell>
          <cell r="O62" t="str">
            <v>PLR</v>
          </cell>
          <cell r="P62" t="str">
            <v>EIR-FT</v>
          </cell>
          <cell r="Q62" t="str">
            <v>PLR</v>
          </cell>
          <cell r="R62" t="str">
            <v>n.a.</v>
          </cell>
          <cell r="S62">
            <v>0</v>
          </cell>
          <cell r="T62">
            <v>1</v>
          </cell>
          <cell r="U62" t="str">
            <v>n.a.</v>
          </cell>
          <cell r="V62" t="str">
            <v>n.a.</v>
          </cell>
          <cell r="W62">
            <v>61</v>
          </cell>
        </row>
        <row r="63">
          <cell r="A63" t="str">
            <v>Table 92 - Chiller Efficiency Part Load Adjustment - Water Cooled - Scroll</v>
          </cell>
          <cell r="B63">
            <v>92</v>
          </cell>
          <cell r="C63" t="str">
            <v>CHLR-EIR-FPLR</v>
          </cell>
          <cell r="D63" t="str">
            <v>EIRPLR48</v>
          </cell>
          <cell r="E63" t="str">
            <v/>
          </cell>
          <cell r="F63" t="str">
            <v>Compression Chiller EIR = F(PLR)</v>
          </cell>
          <cell r="G63" t="str">
            <v>DOE-2</v>
          </cell>
          <cell r="H63">
            <v>8.1441299999999994E-2</v>
          </cell>
          <cell r="I63">
            <v>0.41927140000000002</v>
          </cell>
          <cell r="J63">
            <v>0.49939600000000001</v>
          </cell>
          <cell r="K63">
            <v>0</v>
          </cell>
          <cell r="L63">
            <v>0</v>
          </cell>
          <cell r="M63">
            <v>0</v>
          </cell>
          <cell r="N63" t="str">
            <v>QUAD</v>
          </cell>
          <cell r="O63" t="str">
            <v>PLR</v>
          </cell>
          <cell r="P63" t="str">
            <v>EIR-FT</v>
          </cell>
          <cell r="Q63" t="str">
            <v>PLR</v>
          </cell>
          <cell r="R63" t="str">
            <v>n.a.</v>
          </cell>
          <cell r="S63">
            <v>0</v>
          </cell>
          <cell r="T63">
            <v>1</v>
          </cell>
          <cell r="U63" t="str">
            <v>n.a.</v>
          </cell>
          <cell r="V63" t="str">
            <v>n.a.</v>
          </cell>
          <cell r="W63">
            <v>62</v>
          </cell>
        </row>
        <row r="64">
          <cell r="A64" t="str">
            <v>Table 92 - Chiller Efficiency Part Load Adjustment - Water Cooled - Reciprocating</v>
          </cell>
          <cell r="B64">
            <v>92</v>
          </cell>
          <cell r="C64" t="str">
            <v>CHLR-EIR-FPLR</v>
          </cell>
          <cell r="D64" t="str">
            <v>EIRPLR49</v>
          </cell>
          <cell r="E64" t="str">
            <v/>
          </cell>
          <cell r="F64" t="str">
            <v>Compression Chiller EIR = F(PLR)</v>
          </cell>
          <cell r="G64" t="str">
            <v>DOE-2</v>
          </cell>
          <cell r="H64">
            <v>0.33018829999999999</v>
          </cell>
          <cell r="I64">
            <v>0.2355429</v>
          </cell>
          <cell r="J64">
            <v>0.46070820000000001</v>
          </cell>
          <cell r="K64">
            <v>0</v>
          </cell>
          <cell r="L64">
            <v>0</v>
          </cell>
          <cell r="M64">
            <v>0</v>
          </cell>
          <cell r="N64" t="str">
            <v>QUAD</v>
          </cell>
          <cell r="O64" t="str">
            <v>PLR</v>
          </cell>
          <cell r="P64" t="str">
            <v>EIR-FT</v>
          </cell>
          <cell r="Q64" t="str">
            <v>PLR</v>
          </cell>
          <cell r="R64" t="str">
            <v>n.a.</v>
          </cell>
          <cell r="S64">
            <v>0</v>
          </cell>
          <cell r="T64">
            <v>1</v>
          </cell>
          <cell r="U64" t="str">
            <v>n.a.</v>
          </cell>
          <cell r="V64" t="str">
            <v>n.a.</v>
          </cell>
          <cell r="W64">
            <v>63</v>
          </cell>
        </row>
        <row r="65">
          <cell r="A65" t="str">
            <v>Table 92 - Chiller Efficiency Part Load Adjustment - Water Cooled - Screw</v>
          </cell>
          <cell r="B65">
            <v>92</v>
          </cell>
          <cell r="C65" t="str">
            <v>CHLR-EIR-FPLR</v>
          </cell>
          <cell r="D65" t="str">
            <v>EIRPLR50</v>
          </cell>
          <cell r="E65" t="str">
            <v/>
          </cell>
          <cell r="F65" t="str">
            <v>Compression Chiller EIR = F(PLR)</v>
          </cell>
          <cell r="G65" t="str">
            <v>DOE-2</v>
          </cell>
          <cell r="H65">
            <v>0.1714927</v>
          </cell>
          <cell r="I65">
            <v>0.588202</v>
          </cell>
          <cell r="J65">
            <v>0.23737249999999999</v>
          </cell>
          <cell r="K65">
            <v>0</v>
          </cell>
          <cell r="L65">
            <v>0</v>
          </cell>
          <cell r="M65">
            <v>0</v>
          </cell>
          <cell r="N65" t="str">
            <v>QUAD</v>
          </cell>
          <cell r="O65" t="str">
            <v>PLR</v>
          </cell>
          <cell r="P65" t="str">
            <v>EIR-FT</v>
          </cell>
          <cell r="Q65" t="str">
            <v>PLR</v>
          </cell>
          <cell r="R65" t="str">
            <v>n.a.</v>
          </cell>
          <cell r="S65">
            <v>0</v>
          </cell>
          <cell r="T65">
            <v>1</v>
          </cell>
          <cell r="U65" t="str">
            <v>n.a.</v>
          </cell>
          <cell r="V65" t="str">
            <v>n.a.</v>
          </cell>
          <cell r="W65">
            <v>64</v>
          </cell>
        </row>
        <row r="66">
          <cell r="A66" t="str">
            <v>Table 92 - Chiller Efficiency Part Load Adjustment - Water Cooled - Centrifugal</v>
          </cell>
          <cell r="B66">
            <v>92</v>
          </cell>
          <cell r="C66" t="str">
            <v>CHLR-EIR-FPLR</v>
          </cell>
          <cell r="D66" t="str">
            <v>EIRPLR52</v>
          </cell>
          <cell r="E66" t="str">
            <v/>
          </cell>
          <cell r="F66" t="str">
            <v>Compression Chiller EIR = F(PLR)</v>
          </cell>
          <cell r="G66" t="str">
            <v>DOE-2</v>
          </cell>
          <cell r="H66">
            <v>4.4119499999999999E-2</v>
          </cell>
          <cell r="I66">
            <v>0.64036700000000002</v>
          </cell>
          <cell r="J66">
            <v>0.31955529999999999</v>
          </cell>
          <cell r="K66">
            <v>0</v>
          </cell>
          <cell r="L66">
            <v>0</v>
          </cell>
          <cell r="M66">
            <v>0</v>
          </cell>
          <cell r="N66" t="str">
            <v>QUAD</v>
          </cell>
          <cell r="O66" t="str">
            <v>PLR</v>
          </cell>
          <cell r="P66" t="str">
            <v>EIR-FT</v>
          </cell>
          <cell r="Q66" t="str">
            <v>PLR</v>
          </cell>
          <cell r="R66" t="str">
            <v>n.a.</v>
          </cell>
          <cell r="S66">
            <v>0</v>
          </cell>
          <cell r="T66">
            <v>1</v>
          </cell>
          <cell r="U66" t="str">
            <v>n.a.</v>
          </cell>
          <cell r="V66" t="str">
            <v>n.a.</v>
          </cell>
          <cell r="W66">
            <v>65</v>
          </cell>
        </row>
        <row r="67">
          <cell r="A67" t="str">
            <v>Table 93 - Chiller Efficiency Part Load Adjustment - Single Stage Absorption</v>
          </cell>
          <cell r="B67">
            <v>93</v>
          </cell>
          <cell r="G67" t="str">
            <v xml:space="preserve">ECB CS </v>
          </cell>
          <cell r="H67">
            <v>9.8585000000000006E-2</v>
          </cell>
          <cell r="I67">
            <v>0.58384999999999998</v>
          </cell>
          <cell r="J67">
            <v>0.56065799999999999</v>
          </cell>
          <cell r="K67">
            <v>-0.243093</v>
          </cell>
          <cell r="L67">
            <v>0</v>
          </cell>
          <cell r="M67">
            <v>0</v>
          </cell>
          <cell r="N67" t="str">
            <v>QUAD</v>
          </cell>
          <cell r="P67" t="str">
            <v>FIR-FPLR</v>
          </cell>
          <cell r="Q67" t="str">
            <v>PLR</v>
          </cell>
          <cell r="R67" t="str">
            <v>n.a.</v>
          </cell>
          <cell r="S67">
            <v>0</v>
          </cell>
          <cell r="T67">
            <v>1</v>
          </cell>
          <cell r="U67" t="str">
            <v>n.a.</v>
          </cell>
          <cell r="V67" t="str">
            <v>n.a.</v>
          </cell>
          <cell r="W67">
            <v>66</v>
          </cell>
        </row>
        <row r="68">
          <cell r="A68" t="str">
            <v>Table 93 - Chiller Efficiency Part Load Adjustment - Double Stage Absorption</v>
          </cell>
          <cell r="B68">
            <v>93</v>
          </cell>
          <cell r="G68" t="str">
            <v xml:space="preserve">ECB CS </v>
          </cell>
          <cell r="H68">
            <v>1.3993999999999999E-2</v>
          </cell>
          <cell r="I68">
            <v>1.2404489999999999</v>
          </cell>
          <cell r="J68">
            <v>-0.914883</v>
          </cell>
          <cell r="K68">
            <v>0.66044099999999994</v>
          </cell>
          <cell r="L68">
            <v>0</v>
          </cell>
          <cell r="M68">
            <v>0</v>
          </cell>
          <cell r="N68" t="str">
            <v>QUAD</v>
          </cell>
          <cell r="P68" t="str">
            <v>FIR-FPLR</v>
          </cell>
          <cell r="Q68" t="str">
            <v>PLR</v>
          </cell>
          <cell r="R68" t="str">
            <v>n.a.</v>
          </cell>
          <cell r="S68">
            <v>0</v>
          </cell>
          <cell r="T68">
            <v>1</v>
          </cell>
          <cell r="U68" t="str">
            <v>n.a.</v>
          </cell>
          <cell r="V68" t="str">
            <v>n.a.</v>
          </cell>
          <cell r="W68">
            <v>67</v>
          </cell>
        </row>
        <row r="69">
          <cell r="A69" t="str">
            <v>Table 93 - Chiller Efficiency Part Load Adjustment - Direct Fired Stage Absorption</v>
          </cell>
          <cell r="B69">
            <v>93</v>
          </cell>
          <cell r="G69" t="str">
            <v xml:space="preserve">ECB CS </v>
          </cell>
          <cell r="H69">
            <v>0.13551150000000001</v>
          </cell>
          <cell r="I69">
            <v>0.61798083999999998</v>
          </cell>
          <cell r="J69">
            <v>0.24651276999999999</v>
          </cell>
          <cell r="K69">
            <v>0</v>
          </cell>
          <cell r="L69">
            <v>0</v>
          </cell>
          <cell r="M69">
            <v>0</v>
          </cell>
          <cell r="N69" t="str">
            <v>QUAD</v>
          </cell>
          <cell r="P69" t="str">
            <v>FIR-FPLR</v>
          </cell>
          <cell r="Q69" t="str">
            <v>PLR</v>
          </cell>
          <cell r="R69" t="str">
            <v>n.a.</v>
          </cell>
          <cell r="S69">
            <v>0</v>
          </cell>
          <cell r="T69">
            <v>1</v>
          </cell>
          <cell r="U69" t="str">
            <v>n.a.</v>
          </cell>
          <cell r="V69" t="str">
            <v>n.a.</v>
          </cell>
          <cell r="W69">
            <v>68</v>
          </cell>
        </row>
        <row r="70">
          <cell r="A70" t="str">
            <v>Table 94 - Engine Driven Chiller Efficiency Part Load Adjustment - %Speed Less Than Minimum</v>
          </cell>
          <cell r="B70">
            <v>94</v>
          </cell>
          <cell r="G70" t="str">
            <v xml:space="preserve">ECB CS </v>
          </cell>
          <cell r="H70">
            <v>0.38019999999999998</v>
          </cell>
          <cell r="I70">
            <v>2.3609</v>
          </cell>
          <cell r="J70">
            <v>0</v>
          </cell>
          <cell r="K70">
            <v>0</v>
          </cell>
          <cell r="L70">
            <v>0</v>
          </cell>
          <cell r="M70">
            <v>0</v>
          </cell>
          <cell r="N70" t="str">
            <v>QUAD</v>
          </cell>
          <cell r="P70" t="str">
            <v>FIR-FPLR</v>
          </cell>
          <cell r="Q70" t="str">
            <v>PLR</v>
          </cell>
          <cell r="R70" t="str">
            <v>n.a.</v>
          </cell>
          <cell r="S70">
            <v>0</v>
          </cell>
          <cell r="T70">
            <v>1</v>
          </cell>
          <cell r="U70" t="str">
            <v>n.a.</v>
          </cell>
          <cell r="V70" t="str">
            <v>n.a.</v>
          </cell>
          <cell r="W70">
            <v>69</v>
          </cell>
        </row>
        <row r="71">
          <cell r="A71" t="str">
            <v>Table 94 - Engine Driven Chiller Efficiency Part Load Adjustment - %Speed Minimum to 60%</v>
          </cell>
          <cell r="B71">
            <v>94</v>
          </cell>
          <cell r="G71" t="str">
            <v xml:space="preserve">ECB CS </v>
          </cell>
          <cell r="H71">
            <v>1.1433599999999999</v>
          </cell>
          <cell r="I71">
            <v>2.2889E-2</v>
          </cell>
          <cell r="J71">
            <v>0</v>
          </cell>
          <cell r="K71">
            <v>0</v>
          </cell>
          <cell r="L71">
            <v>0</v>
          </cell>
          <cell r="M71">
            <v>0</v>
          </cell>
          <cell r="N71" t="str">
            <v>QUAD</v>
          </cell>
          <cell r="P71" t="str">
            <v>FIR-FPLR</v>
          </cell>
          <cell r="Q71" t="str">
            <v>PLR</v>
          </cell>
          <cell r="R71" t="str">
            <v>n.a.</v>
          </cell>
          <cell r="S71">
            <v>0</v>
          </cell>
          <cell r="T71">
            <v>1</v>
          </cell>
          <cell r="U71" t="str">
            <v>n.a.</v>
          </cell>
          <cell r="V71" t="str">
            <v>n.a.</v>
          </cell>
          <cell r="W71">
            <v>70</v>
          </cell>
        </row>
        <row r="72">
          <cell r="A72" t="str">
            <v>Table 94 - Engine Driven Chiller Efficiency Part Load Adjustment - %Speed More than 60% Minimum</v>
          </cell>
          <cell r="B72">
            <v>94</v>
          </cell>
          <cell r="G72" t="str">
            <v xml:space="preserve">ECB CS </v>
          </cell>
          <cell r="H72">
            <v>1.3886099999999999</v>
          </cell>
          <cell r="I72">
            <v>-0.38861400000000001</v>
          </cell>
          <cell r="J72">
            <v>0</v>
          </cell>
          <cell r="K72">
            <v>0</v>
          </cell>
          <cell r="L72">
            <v>0</v>
          </cell>
          <cell r="M72">
            <v>0</v>
          </cell>
          <cell r="N72" t="str">
            <v>QUAD</v>
          </cell>
          <cell r="P72" t="str">
            <v>FIR-FPLR</v>
          </cell>
          <cell r="Q72" t="str">
            <v>PLR</v>
          </cell>
          <cell r="R72" t="str">
            <v>n.a.</v>
          </cell>
          <cell r="S72">
            <v>0</v>
          </cell>
          <cell r="T72">
            <v>1</v>
          </cell>
          <cell r="U72" t="str">
            <v>n.a.</v>
          </cell>
          <cell r="V72" t="str">
            <v>n.a.</v>
          </cell>
          <cell r="W72">
            <v>71</v>
          </cell>
        </row>
        <row r="73">
          <cell r="A73" t="str">
            <v>Table 95 - Chiller Efficiency Temperature Adjustment - Single Stage Absorption</v>
          </cell>
          <cell r="B73">
            <v>95</v>
          </cell>
          <cell r="G73" t="str">
            <v xml:space="preserve">ECB CS </v>
          </cell>
          <cell r="H73">
            <v>0.65227299999999999</v>
          </cell>
          <cell r="I73">
            <v>0</v>
          </cell>
          <cell r="J73">
            <v>0</v>
          </cell>
          <cell r="K73">
            <v>-5.4500000000000002E-4</v>
          </cell>
          <cell r="L73">
            <v>5.5000000000000002E-5</v>
          </cell>
          <cell r="M73">
            <v>0</v>
          </cell>
          <cell r="N73" t="str">
            <v>BI-QUAD</v>
          </cell>
          <cell r="P73" t="str">
            <v>FIR-FT</v>
          </cell>
          <cell r="Q73" t="str">
            <v>Tchws</v>
          </cell>
          <cell r="R73" t="str">
            <v>Tcws</v>
          </cell>
          <cell r="S73">
            <v>40</v>
          </cell>
          <cell r="T73">
            <v>50</v>
          </cell>
          <cell r="U73">
            <v>60</v>
          </cell>
          <cell r="V73">
            <v>90</v>
          </cell>
          <cell r="W73">
            <v>72</v>
          </cell>
        </row>
        <row r="74">
          <cell r="A74" t="str">
            <v>Table 95 - Chiller Efficiency Temperature Adjustment - Double Stage Absorption</v>
          </cell>
          <cell r="B74">
            <v>95</v>
          </cell>
          <cell r="G74" t="str">
            <v xml:space="preserve">ECB CS </v>
          </cell>
          <cell r="H74">
            <v>1.6587499999999999</v>
          </cell>
          <cell r="I74">
            <v>0</v>
          </cell>
          <cell r="J74">
            <v>0</v>
          </cell>
          <cell r="K74">
            <v>-0.28999999999999998</v>
          </cell>
          <cell r="L74">
            <v>2.5000000000000001E-4</v>
          </cell>
          <cell r="M74">
            <v>0</v>
          </cell>
          <cell r="N74" t="str">
            <v>BI-QUAD</v>
          </cell>
          <cell r="P74" t="str">
            <v>FIR-FT</v>
          </cell>
          <cell r="Q74" t="str">
            <v>Tchws</v>
          </cell>
          <cell r="R74" t="str">
            <v>Tcws</v>
          </cell>
          <cell r="S74">
            <v>40</v>
          </cell>
          <cell r="T74">
            <v>50</v>
          </cell>
          <cell r="U74">
            <v>60</v>
          </cell>
          <cell r="V74">
            <v>90</v>
          </cell>
          <cell r="W74">
            <v>73</v>
          </cell>
        </row>
        <row r="75">
          <cell r="A75" t="str">
            <v>Table 95 - Chiller Efficiency Temperature Adjustment - Direct Fired Stage Absorption</v>
          </cell>
          <cell r="B75">
            <v>95</v>
          </cell>
          <cell r="G75" t="str">
            <v xml:space="preserve">ECB CS </v>
          </cell>
          <cell r="H75">
            <v>4.4287128400000002</v>
          </cell>
          <cell r="I75">
            <v>-0.13298607000000001</v>
          </cell>
          <cell r="J75">
            <v>1.2533100000000001E-3</v>
          </cell>
          <cell r="K75">
            <v>0.86173748999999999</v>
          </cell>
          <cell r="L75">
            <v>-7.0891699999999997E-3</v>
          </cell>
          <cell r="M75">
            <v>1.0250999999999999E-3</v>
          </cell>
          <cell r="N75" t="str">
            <v>BI-QUAD</v>
          </cell>
          <cell r="P75" t="str">
            <v>FIR-FT</v>
          </cell>
          <cell r="Q75" t="str">
            <v>Tchws</v>
          </cell>
          <cell r="R75" t="str">
            <v>Tcws</v>
          </cell>
          <cell r="S75">
            <v>40</v>
          </cell>
          <cell r="T75">
            <v>50</v>
          </cell>
          <cell r="U75">
            <v>60</v>
          </cell>
          <cell r="V75">
            <v>90</v>
          </cell>
          <cell r="W75">
            <v>74</v>
          </cell>
        </row>
        <row r="76">
          <cell r="A76" t="str">
            <v>Table 96 - Engine Driven Chiller Efficiency Temperature Adjustment - %Speed Less Than Minimum</v>
          </cell>
          <cell r="B76">
            <v>96</v>
          </cell>
          <cell r="G76" t="str">
            <v xml:space="preserve">ECB CS </v>
          </cell>
          <cell r="H76">
            <v>1.08815</v>
          </cell>
          <cell r="I76">
            <v>1.41064E-2</v>
          </cell>
          <cell r="J76">
            <v>0</v>
          </cell>
          <cell r="K76">
            <v>-8.3391200000000002E-3</v>
          </cell>
          <cell r="L76">
            <v>0</v>
          </cell>
          <cell r="M76">
            <v>0</v>
          </cell>
          <cell r="N76" t="str">
            <v>BI-QUAD</v>
          </cell>
          <cell r="P76" t="str">
            <v>FIR-FT</v>
          </cell>
          <cell r="Q76" t="str">
            <v>Tchws</v>
          </cell>
          <cell r="R76" t="str">
            <v>Tcws</v>
          </cell>
          <cell r="S76">
            <v>40</v>
          </cell>
          <cell r="T76">
            <v>50</v>
          </cell>
          <cell r="U76">
            <v>60</v>
          </cell>
          <cell r="V76">
            <v>90</v>
          </cell>
          <cell r="W76">
            <v>75</v>
          </cell>
        </row>
        <row r="77">
          <cell r="A77" t="str">
            <v>Table 96 - Engine Driven Chiller Efficiency Temperature Adjustment - %Speed Minimum to 60%</v>
          </cell>
          <cell r="B77">
            <v>96</v>
          </cell>
          <cell r="G77" t="str">
            <v xml:space="preserve">ECB CS </v>
          </cell>
          <cell r="H77">
            <v>1.23624</v>
          </cell>
          <cell r="I77">
            <v>1.6892299999999999E-2</v>
          </cell>
          <cell r="J77">
            <v>0</v>
          </cell>
          <cell r="K77">
            <v>-1.1523500000000001E-2</v>
          </cell>
          <cell r="L77">
            <v>0</v>
          </cell>
          <cell r="M77">
            <v>0</v>
          </cell>
          <cell r="N77" t="str">
            <v>BI-QUAD</v>
          </cell>
          <cell r="P77" t="str">
            <v>FIR-FT</v>
          </cell>
          <cell r="Q77" t="str">
            <v>Tchws</v>
          </cell>
          <cell r="R77" t="str">
            <v>Tcws</v>
          </cell>
          <cell r="S77">
            <v>40</v>
          </cell>
          <cell r="T77">
            <v>50</v>
          </cell>
          <cell r="U77">
            <v>60</v>
          </cell>
          <cell r="V77">
            <v>90</v>
          </cell>
          <cell r="W77">
            <v>76</v>
          </cell>
        </row>
        <row r="78">
          <cell r="A78" t="str">
            <v>Table 96 - Engine Driven Chiller Efficiency Temperature Adjustment - %Speed More than 60% Minimum</v>
          </cell>
          <cell r="B78">
            <v>96</v>
          </cell>
          <cell r="G78" t="str">
            <v xml:space="preserve">ECB CS </v>
          </cell>
          <cell r="H78">
            <v>1.23624</v>
          </cell>
          <cell r="I78">
            <v>1.6892299999999999E-2</v>
          </cell>
          <cell r="J78">
            <v>0</v>
          </cell>
          <cell r="K78">
            <v>-1.1523500000000001E-2</v>
          </cell>
          <cell r="L78">
            <v>0</v>
          </cell>
          <cell r="M78">
            <v>0</v>
          </cell>
          <cell r="N78" t="str">
            <v>BI-QUAD</v>
          </cell>
          <cell r="P78" t="str">
            <v>FIR-FT</v>
          </cell>
          <cell r="Q78" t="str">
            <v>Tchws</v>
          </cell>
          <cell r="R78" t="str">
            <v>Tcws</v>
          </cell>
          <cell r="S78">
            <v>40</v>
          </cell>
          <cell r="T78">
            <v>50</v>
          </cell>
          <cell r="U78">
            <v>60</v>
          </cell>
          <cell r="V78">
            <v>90</v>
          </cell>
          <cell r="W78">
            <v>77</v>
          </cell>
        </row>
        <row r="79">
          <cell r="A79" t="str">
            <v>Table 97 - Tower Capacity FRA (Intermediate Value)</v>
          </cell>
          <cell r="B79">
            <v>97</v>
          </cell>
          <cell r="C79" t="str">
            <v>TWR-GPM-FRA</v>
          </cell>
          <cell r="D79" t="str">
            <v>GPMRA</v>
          </cell>
          <cell r="E79" t="str">
            <v/>
          </cell>
          <cell r="F79" t="str">
            <v>Intermediate tower capacity variable = F(RNG,APP)</v>
          </cell>
          <cell r="G79" t="str">
            <v>DOE-2</v>
          </cell>
          <cell r="H79">
            <v>-2.2288889900000002</v>
          </cell>
          <cell r="I79">
            <v>0.16679542999999999</v>
          </cell>
          <cell r="J79">
            <v>-1.4102470000000001E-2</v>
          </cell>
          <cell r="K79">
            <v>3.2223330000000001E-2</v>
          </cell>
          <cell r="L79">
            <v>0.18560214</v>
          </cell>
          <cell r="M79">
            <v>0.24251871</v>
          </cell>
          <cell r="N79" t="str">
            <v>SPECIAL</v>
          </cell>
          <cell r="O79" t="str">
            <v>RNG,FRA</v>
          </cell>
          <cell r="P79" t="str">
            <v>FRA</v>
          </cell>
          <cell r="Q79" t="str">
            <v>tR</v>
          </cell>
          <cell r="R79" t="str">
            <v>tA</v>
          </cell>
          <cell r="W79">
            <v>78</v>
          </cell>
        </row>
        <row r="80">
          <cell r="A80" t="str">
            <v>Table 97 - Tower Capacity Temperature Adjustment</v>
          </cell>
          <cell r="B80">
            <v>97</v>
          </cell>
          <cell r="C80" t="str">
            <v>TWR-GPM-FWB</v>
          </cell>
          <cell r="D80" t="str">
            <v>GPMWB</v>
          </cell>
          <cell r="E80" t="str">
            <v>HP, WTR-CC</v>
          </cell>
          <cell r="F80" t="str">
            <v>Tower Capacity Relative to CTI conditions = F(FRA,OWB)</v>
          </cell>
          <cell r="G80" t="str">
            <v>DOE-2</v>
          </cell>
          <cell r="H80">
            <v>0.60531402000000001</v>
          </cell>
          <cell r="I80">
            <v>-3.5545359999999998E-2</v>
          </cell>
          <cell r="J80">
            <v>8.0408300000000005E-3</v>
          </cell>
          <cell r="K80">
            <v>-2.8602590000000001E-2</v>
          </cell>
          <cell r="L80">
            <v>2.4971999999999999E-4</v>
          </cell>
          <cell r="M80">
            <v>4.9085700000000001E-3</v>
          </cell>
          <cell r="N80" t="str">
            <v>BI-QUAD</v>
          </cell>
          <cell r="O80" t="str">
            <v>FRA/OWB</v>
          </cell>
          <cell r="P80" t="str">
            <v>FWB</v>
          </cell>
          <cell r="Q80" t="str">
            <v>FRA</v>
          </cell>
          <cell r="R80" t="str">
            <v>Towb</v>
          </cell>
          <cell r="U80">
            <v>30</v>
          </cell>
          <cell r="V80">
            <v>90</v>
          </cell>
          <cell r="W80">
            <v>79</v>
          </cell>
        </row>
        <row r="81">
          <cell r="A81" t="str">
            <v>Table 98 - Tower Efficiency Part Load Adjustment - VSD on Fan</v>
          </cell>
          <cell r="B81">
            <v>98</v>
          </cell>
          <cell r="C81" t="str">
            <v>TWR-FAN-FPLR</v>
          </cell>
          <cell r="D81" t="str">
            <v>TWRFAN</v>
          </cell>
          <cell r="E81" t="str">
            <v>HP, WTR-CC</v>
          </cell>
          <cell r="F81" t="str">
            <v>Tower Fan hp = F(PLR)</v>
          </cell>
          <cell r="G81" t="str">
            <v>DOE-2</v>
          </cell>
          <cell r="H81">
            <v>0.33162901</v>
          </cell>
          <cell r="I81">
            <v>-0.88567609000000003</v>
          </cell>
          <cell r="J81">
            <v>0.60556507000000004</v>
          </cell>
          <cell r="K81">
            <v>0.94848233000000004</v>
          </cell>
          <cell r="L81">
            <v>0</v>
          </cell>
          <cell r="M81">
            <v>0</v>
          </cell>
          <cell r="N81" t="str">
            <v>CUBIC</v>
          </cell>
          <cell r="O81" t="str">
            <v>ARCELL</v>
          </cell>
          <cell r="P81" t="str">
            <v>TOWER-FAN-FPLR</v>
          </cell>
          <cell r="Q81" t="str">
            <v>PLR</v>
          </cell>
          <cell r="R81" t="str">
            <v>n.a.</v>
          </cell>
          <cell r="S81">
            <v>0.4</v>
          </cell>
          <cell r="T81">
            <v>1</v>
          </cell>
          <cell r="U81" t="str">
            <v>n.a.</v>
          </cell>
          <cell r="V81" t="str">
            <v>n.a.</v>
          </cell>
          <cell r="W81">
            <v>80</v>
          </cell>
        </row>
        <row r="82">
          <cell r="A82" t="str">
            <v>Table 99 - Pump Power Part Load Adjustment</v>
          </cell>
          <cell r="B82">
            <v>99</v>
          </cell>
          <cell r="C82" t="str">
            <v>CIRC-PUMP-FPLR</v>
          </cell>
          <cell r="D82" t="str">
            <v>CIRC-PUMP-FPLR</v>
          </cell>
          <cell r="E82" t="str">
            <v>HP, WTR-CC</v>
          </cell>
          <cell r="F82" t="str">
            <v>Circulating pump = F(PLR)</v>
          </cell>
          <cell r="G82" t="str">
            <v>DOE-2</v>
          </cell>
          <cell r="H82">
            <v>1.5330299999999999E-3</v>
          </cell>
          <cell r="I82">
            <v>5.2081000000000002E-3</v>
          </cell>
          <cell r="J82">
            <v>1.1086241999999999</v>
          </cell>
          <cell r="K82">
            <v>-0.1163556</v>
          </cell>
          <cell r="L82">
            <v>2.4971999999999999E-4</v>
          </cell>
          <cell r="M82">
            <v>4.9085700000000001E-3</v>
          </cell>
          <cell r="N82" t="str">
            <v>CUBIC</v>
          </cell>
          <cell r="O82" t="str">
            <v>PLR</v>
          </cell>
          <cell r="P82" t="str">
            <v>CIRC-PUMP-FPLR</v>
          </cell>
          <cell r="Q82" t="str">
            <v>PLR</v>
          </cell>
          <cell r="R82" t="str">
            <v>n.a.</v>
          </cell>
          <cell r="S82">
            <v>0.3</v>
          </cell>
          <cell r="T82">
            <v>1</v>
          </cell>
          <cell r="U82" t="str">
            <v>n.a.</v>
          </cell>
          <cell r="V82" t="str">
            <v>n.a.</v>
          </cell>
          <cell r="W82">
            <v>81</v>
          </cell>
        </row>
      </sheetData>
      <sheetData sheetId="3"/>
      <sheetData sheetId="4">
        <row r="5">
          <cell r="F5">
            <v>6.36911E-2</v>
          </cell>
          <cell r="G5">
            <v>0.58488300000000004</v>
          </cell>
          <cell r="H5">
            <v>0.35280270000000002</v>
          </cell>
          <cell r="I5">
            <v>0</v>
          </cell>
          <cell r="L5" t="str">
            <v>EIR-FT</v>
          </cell>
          <cell r="M5" t="str">
            <v>PLR</v>
          </cell>
          <cell r="O5">
            <v>0</v>
          </cell>
          <cell r="P5">
            <v>1</v>
          </cell>
        </row>
      </sheetData>
      <sheetData sheetId="5">
        <row r="3">
          <cell r="C3">
            <v>85</v>
          </cell>
        </row>
        <row r="52">
          <cell r="E52">
            <v>-2.2288889900000002</v>
          </cell>
          <cell r="F52">
            <v>0.16679542999999999</v>
          </cell>
          <cell r="G52">
            <v>-1.4102470000000001E-2</v>
          </cell>
          <cell r="H52">
            <v>3.2223330000000001E-2</v>
          </cell>
          <cell r="I52">
            <v>0.18560214</v>
          </cell>
          <cell r="J52">
            <v>0.24251871</v>
          </cell>
        </row>
        <row r="53">
          <cell r="E53">
            <v>0.60531402000000001</v>
          </cell>
          <cell r="F53">
            <v>-3.5545359999999998E-2</v>
          </cell>
          <cell r="G53">
            <v>8.0408300000000005E-3</v>
          </cell>
          <cell r="H53">
            <v>-2.8602590000000001E-2</v>
          </cell>
          <cell r="I53">
            <v>2.4971999999999999E-4</v>
          </cell>
          <cell r="J53">
            <v>4.9085700000000001E-3</v>
          </cell>
        </row>
      </sheetData>
      <sheetData sheetId="6"/>
      <sheetData sheetId="7"/>
      <sheetData sheetId="8"/>
      <sheetData sheetId="9"/>
      <sheetData sheetId="1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Notes"/>
      <sheetName val="COMNET Data"/>
      <sheetName val="BiLinear_BiQuad"/>
      <sheetName val="Linear_Quad_Cubic"/>
      <sheetName val="Towers"/>
      <sheetName val="Heat Pumps"/>
      <sheetName val="COMNET Refs"/>
      <sheetName val="From VD DB"/>
      <sheetName val="Fans ACM 2001"/>
      <sheetName val="Fans VisualDOE"/>
      <sheetName val="Fans Rosenberg"/>
      <sheetName val="Fan Analysis"/>
    </sheetNames>
    <sheetDataSet>
      <sheetData sheetId="0"/>
      <sheetData sheetId="1"/>
      <sheetData sheetId="2">
        <row r="1">
          <cell r="E1" t="str">
            <v>Label</v>
          </cell>
          <cell r="F1"/>
          <cell r="G1" t="str">
            <v>DOE-2 Keyword</v>
          </cell>
          <cell r="H1" t="str">
            <v>EqpCurves.Name</v>
          </cell>
          <cell r="I1" t="str">
            <v>EqpCurves.Systems</v>
          </cell>
          <cell r="J1" t="str">
            <v>EqpCrvType.Name</v>
          </cell>
          <cell r="K1" t="str">
            <v>a</v>
          </cell>
          <cell r="L1" t="str">
            <v>b</v>
          </cell>
          <cell r="M1" t="str">
            <v>c</v>
          </cell>
          <cell r="N1" t="str">
            <v>d</v>
          </cell>
          <cell r="O1" t="str">
            <v>e</v>
          </cell>
          <cell r="P1" t="str">
            <v>f</v>
          </cell>
          <cell r="Q1" t="str">
            <v>EQ Type</v>
          </cell>
          <cell r="R1" t="str">
            <v>IndpVrbls</v>
          </cell>
          <cell r="S1" t="str">
            <v>Z_Axis</v>
          </cell>
          <cell r="T1" t="str">
            <v>X_Axis</v>
          </cell>
          <cell r="U1" t="str">
            <v>Y_Axis</v>
          </cell>
          <cell r="V1" t="str">
            <v>X_min</v>
          </cell>
          <cell r="W1" t="str">
            <v>X_max</v>
          </cell>
          <cell r="X1" t="str">
            <v>Y_min</v>
          </cell>
          <cell r="Y1" t="str">
            <v>Y-max</v>
          </cell>
          <cell r="Z1" t="str">
            <v>Order</v>
          </cell>
        </row>
        <row r="2">
          <cell r="E2" t="str">
            <v>FAN-PLR - AF or BI Riding Curve</v>
          </cell>
          <cell r="F2"/>
          <cell r="G2"/>
          <cell r="H2"/>
          <cell r="I2"/>
          <cell r="J2"/>
          <cell r="K2">
            <v>0.16309999999999999</v>
          </cell>
          <cell r="L2">
            <v>1.5901000000000001</v>
          </cell>
          <cell r="M2">
            <v>-0.88170000000000004</v>
          </cell>
          <cell r="N2">
            <v>0.12809999999999999</v>
          </cell>
          <cell r="O2"/>
          <cell r="P2"/>
          <cell r="Q2" t="str">
            <v>QUAD</v>
          </cell>
          <cell r="R2"/>
          <cell r="S2" t="str">
            <v>PLR</v>
          </cell>
          <cell r="T2" t="str">
            <v>Fan Ratio</v>
          </cell>
          <cell r="U2" t="str">
            <v>n.a.</v>
          </cell>
          <cell r="V2">
            <v>0.7</v>
          </cell>
          <cell r="W2">
            <v>1</v>
          </cell>
          <cell r="X2" t="str">
            <v>n.a.</v>
          </cell>
          <cell r="Y2" t="str">
            <v>n.a.</v>
          </cell>
          <cell r="Z2">
            <v>-5</v>
          </cell>
        </row>
        <row r="3">
          <cell r="E3" t="str">
            <v>FAN-PLR - AF or BI Inlet Vanes</v>
          </cell>
          <cell r="F3"/>
          <cell r="G3"/>
          <cell r="H3"/>
          <cell r="I3"/>
          <cell r="J3"/>
          <cell r="K3">
            <v>0.99770000000000003</v>
          </cell>
          <cell r="L3">
            <v>-0.65900000000000003</v>
          </cell>
          <cell r="M3">
            <v>0.95469999999999999</v>
          </cell>
          <cell r="N3">
            <v>-0.29360000000000003</v>
          </cell>
          <cell r="O3"/>
          <cell r="P3"/>
          <cell r="Q3" t="str">
            <v>QUAD</v>
          </cell>
          <cell r="R3"/>
          <cell r="S3" t="str">
            <v>PLR</v>
          </cell>
          <cell r="T3" t="str">
            <v>Fan Ratio</v>
          </cell>
          <cell r="U3" t="str">
            <v>n.a.</v>
          </cell>
          <cell r="V3">
            <v>0.5</v>
          </cell>
          <cell r="W3">
            <v>1</v>
          </cell>
          <cell r="X3" t="str">
            <v>n.a.</v>
          </cell>
          <cell r="Y3" t="str">
            <v>n.a.</v>
          </cell>
          <cell r="Z3">
            <v>-4</v>
          </cell>
        </row>
        <row r="4">
          <cell r="E4" t="str">
            <v>FAN-PLR - FC Riding Curve</v>
          </cell>
          <cell r="F4"/>
          <cell r="G4">
            <v>0.47278588999999999</v>
          </cell>
          <cell r="H4"/>
          <cell r="I4"/>
          <cell r="J4"/>
          <cell r="K4">
            <v>0.12239999999999999</v>
          </cell>
          <cell r="L4">
            <v>0.61199999999999999</v>
          </cell>
          <cell r="M4">
            <v>0.59830000000000005</v>
          </cell>
          <cell r="N4">
            <v>-0.33339999999999997</v>
          </cell>
          <cell r="O4"/>
          <cell r="P4"/>
          <cell r="Q4" t="str">
            <v>QUAD</v>
          </cell>
          <cell r="R4"/>
          <cell r="S4" t="str">
            <v>PLR</v>
          </cell>
          <cell r="T4" t="str">
            <v>Fan Ratio</v>
          </cell>
          <cell r="U4" t="str">
            <v>n.a.</v>
          </cell>
          <cell r="V4">
            <v>0.3</v>
          </cell>
          <cell r="W4">
            <v>1</v>
          </cell>
          <cell r="X4" t="str">
            <v>n.a.</v>
          </cell>
          <cell r="Y4" t="str">
            <v>n.a.</v>
          </cell>
          <cell r="Z4">
            <v>-3</v>
          </cell>
        </row>
        <row r="5">
          <cell r="E5" t="str">
            <v>FAN-PLR - FC Inlet Vanes</v>
          </cell>
          <cell r="F5"/>
          <cell r="G5">
            <v>1.2433415000000001</v>
          </cell>
          <cell r="H5"/>
          <cell r="I5"/>
          <cell r="J5"/>
          <cell r="K5">
            <v>0.30380000000000001</v>
          </cell>
          <cell r="L5">
            <v>-0.76080000000000003</v>
          </cell>
          <cell r="M5">
            <v>2.2728999999999999</v>
          </cell>
          <cell r="N5">
            <v>-0.81689999999999996</v>
          </cell>
          <cell r="O5"/>
          <cell r="P5"/>
          <cell r="Q5" t="str">
            <v>QUAD</v>
          </cell>
          <cell r="R5"/>
          <cell r="S5" t="str">
            <v>PLR</v>
          </cell>
          <cell r="T5" t="str">
            <v>Fan Ratio</v>
          </cell>
          <cell r="U5" t="str">
            <v>n.a.</v>
          </cell>
          <cell r="V5">
            <v>0.3</v>
          </cell>
          <cell r="W5">
            <v>1</v>
          </cell>
          <cell r="X5" t="str">
            <v>n.a.</v>
          </cell>
          <cell r="Y5" t="str">
            <v>n.a.</v>
          </cell>
          <cell r="Z5">
            <v>-2</v>
          </cell>
        </row>
        <row r="6">
          <cell r="E6" t="str">
            <v>FAN-PLR - Vane Axial Variable Pitch Blades</v>
          </cell>
          <cell r="F6"/>
          <cell r="G6">
            <v>-1.0387055000000001</v>
          </cell>
          <cell r="H6"/>
          <cell r="I6"/>
          <cell r="J6"/>
          <cell r="K6">
            <v>0.16389999999999999</v>
          </cell>
          <cell r="L6">
            <v>-0.40160000000000001</v>
          </cell>
          <cell r="M6">
            <v>1.9908999999999999</v>
          </cell>
          <cell r="N6">
            <v>-0.75409999999999999</v>
          </cell>
          <cell r="O6"/>
          <cell r="P6"/>
          <cell r="Q6" t="str">
            <v>QUAD</v>
          </cell>
          <cell r="R6"/>
          <cell r="S6" t="str">
            <v>PLR</v>
          </cell>
          <cell r="T6" t="str">
            <v>Fan Ratio</v>
          </cell>
          <cell r="U6" t="str">
            <v>n.a.</v>
          </cell>
          <cell r="V6">
            <v>0.2</v>
          </cell>
          <cell r="W6">
            <v>1</v>
          </cell>
          <cell r="X6" t="str">
            <v>n.a.</v>
          </cell>
          <cell r="Y6" t="str">
            <v>n.a.</v>
          </cell>
          <cell r="Z6">
            <v>-1</v>
          </cell>
        </row>
        <row r="7">
          <cell r="E7" t="str">
            <v>FAN-PLR - VSD fixed Static Pressure Setpoint</v>
          </cell>
          <cell r="F7"/>
          <cell r="G7">
            <v>0.32257813000000002</v>
          </cell>
          <cell r="H7"/>
          <cell r="I7"/>
          <cell r="J7"/>
          <cell r="K7">
            <v>1.2999999999999999E-3</v>
          </cell>
          <cell r="L7">
            <v>0.14699999999999999</v>
          </cell>
          <cell r="M7">
            <v>0.9506</v>
          </cell>
          <cell r="N7">
            <v>-9.98E-2</v>
          </cell>
          <cell r="O7"/>
          <cell r="P7"/>
          <cell r="Q7" t="str">
            <v>QUAD</v>
          </cell>
          <cell r="R7"/>
          <cell r="S7" t="str">
            <v>PLR</v>
          </cell>
          <cell r="T7" t="str">
            <v>Fan Ratio</v>
          </cell>
          <cell r="U7" t="str">
            <v>n.a.</v>
          </cell>
          <cell r="V7">
            <v>0.2</v>
          </cell>
          <cell r="W7">
            <v>1</v>
          </cell>
          <cell r="X7" t="str">
            <v>n.a.</v>
          </cell>
          <cell r="Y7" t="str">
            <v>n.a.</v>
          </cell>
          <cell r="Z7">
            <v>0</v>
          </cell>
        </row>
        <row r="8">
          <cell r="E8" t="str">
            <v>FAN-PLR - VSD with Static Pressure Reset</v>
          </cell>
          <cell r="F8"/>
          <cell r="G8"/>
          <cell r="H8"/>
          <cell r="I8"/>
          <cell r="J8"/>
          <cell r="K8">
            <v>4.0759999999999998E-2</v>
          </cell>
          <cell r="L8">
            <v>8.8099999999999998E-2</v>
          </cell>
          <cell r="M8">
            <v>-7.2900000000000006E-2</v>
          </cell>
          <cell r="N8">
            <v>0.94369999999999998</v>
          </cell>
          <cell r="O8"/>
          <cell r="P8"/>
          <cell r="Q8" t="str">
            <v>QUAD</v>
          </cell>
          <cell r="R8"/>
          <cell r="S8" t="str">
            <v>PLR</v>
          </cell>
          <cell r="T8" t="str">
            <v>Fan Ratio</v>
          </cell>
          <cell r="U8" t="str">
            <v>n.a.</v>
          </cell>
          <cell r="V8">
            <v>0.2</v>
          </cell>
          <cell r="W8">
            <v>1</v>
          </cell>
          <cell r="X8" t="str">
            <v>n.a.</v>
          </cell>
          <cell r="Y8" t="str">
            <v>n.a.</v>
          </cell>
          <cell r="Z8">
            <v>0</v>
          </cell>
        </row>
        <row r="9">
          <cell r="E9" t="str">
            <v>FAN-PLR - Single Zone VSD with Static Pressure Reset</v>
          </cell>
          <cell r="F9"/>
          <cell r="G9"/>
          <cell r="H9"/>
          <cell r="I9"/>
          <cell r="J9"/>
          <cell r="K9">
            <v>2.7827999999999999E-2</v>
          </cell>
          <cell r="L9">
            <v>2.6582999999999999E-2</v>
          </cell>
          <cell r="M9">
            <v>-8.7068999999999994E-2</v>
          </cell>
          <cell r="N9">
            <v>1.0309200000000001</v>
          </cell>
          <cell r="O9"/>
          <cell r="P9"/>
          <cell r="Q9" t="str">
            <v>QUAD</v>
          </cell>
          <cell r="R9" t="str">
            <v>PLR</v>
          </cell>
          <cell r="S9" t="str">
            <v>PLR</v>
          </cell>
          <cell r="T9" t="str">
            <v>Fan Ratio</v>
          </cell>
          <cell r="U9" t="str">
            <v>n.a.</v>
          </cell>
          <cell r="V9">
            <v>0.2</v>
          </cell>
          <cell r="W9">
            <v>1</v>
          </cell>
          <cell r="X9" t="str">
            <v>n.a.</v>
          </cell>
          <cell r="Y9" t="str">
            <v>n.a.</v>
          </cell>
          <cell r="Z9">
            <v>1</v>
          </cell>
        </row>
        <row r="10">
          <cell r="E10" t="str">
            <v>COOL-CAP-FT - PTAC</v>
          </cell>
          <cell r="F10"/>
          <cell r="G10" t="str">
            <v>COOL-CAP-FT</v>
          </cell>
          <cell r="H10" t="str">
            <v>SDL-C2</v>
          </cell>
          <cell r="I10" t="str">
            <v>PTAC</v>
          </cell>
          <cell r="J10" t="str">
            <v>Cool Capacity = F(WB,EDB)</v>
          </cell>
          <cell r="K10">
            <v>1.1839344999999999</v>
          </cell>
          <cell r="L10">
            <v>-8.1086999999999999E-3</v>
          </cell>
          <cell r="M10">
            <v>2.1100000000000001E-4</v>
          </cell>
          <cell r="N10">
            <v>-6.1425000000000004E-3</v>
          </cell>
          <cell r="O10">
            <v>1.5999999999999999E-6</v>
          </cell>
          <cell r="P10">
            <v>-3.0000000000000001E-6</v>
          </cell>
          <cell r="Q10" t="str">
            <v>BI-QUAD</v>
          </cell>
          <cell r="R10" t="str">
            <v>WB/EDB</v>
          </cell>
          <cell r="S10" t="str">
            <v>CAP-FT</v>
          </cell>
          <cell r="T10" t="str">
            <v>Twb</v>
          </cell>
          <cell r="U10" t="str">
            <v>Todb</v>
          </cell>
          <cell r="V10">
            <v>30</v>
          </cell>
          <cell r="W10">
            <v>90</v>
          </cell>
          <cell r="X10">
            <v>60</v>
          </cell>
          <cell r="Y10">
            <v>120</v>
          </cell>
          <cell r="Z10">
            <v>8</v>
          </cell>
        </row>
        <row r="11">
          <cell r="E11" t="str">
            <v>COOL-CAP-FT - Other</v>
          </cell>
          <cell r="F11"/>
          <cell r="G11" t="str">
            <v>COOL-CAP-FT</v>
          </cell>
          <cell r="H11" t="str">
            <v>SDL-C3</v>
          </cell>
          <cell r="I11" t="str">
            <v>PSZ, PMZ, PVAVS</v>
          </cell>
          <cell r="J11" t="str">
            <v>Cool Capacity = F(WB,EDB)</v>
          </cell>
          <cell r="K11">
            <v>0.87403019999999998</v>
          </cell>
          <cell r="L11">
            <v>-1.1416E-3</v>
          </cell>
          <cell r="M11">
            <v>1.7110000000000001E-4</v>
          </cell>
          <cell r="N11">
            <v>-2.957E-3</v>
          </cell>
          <cell r="O11">
            <v>1.0200000000000001E-5</v>
          </cell>
          <cell r="P11">
            <v>-5.9200000000000002E-5</v>
          </cell>
          <cell r="Q11" t="str">
            <v>BI-QUAD</v>
          </cell>
          <cell r="R11" t="str">
            <v>WB/EDB</v>
          </cell>
          <cell r="S11" t="str">
            <v>CAP-FT</v>
          </cell>
          <cell r="T11" t="str">
            <v>Twb</v>
          </cell>
          <cell r="U11" t="str">
            <v>Todb</v>
          </cell>
          <cell r="V11">
            <v>30</v>
          </cell>
          <cell r="W11">
            <v>90</v>
          </cell>
          <cell r="X11">
            <v>60</v>
          </cell>
          <cell r="Y11">
            <v>120</v>
          </cell>
          <cell r="Z11">
            <v>9</v>
          </cell>
        </row>
        <row r="12">
          <cell r="E12" t="str">
            <v>COOL-CAP-FT - HP</v>
          </cell>
          <cell r="F12"/>
          <cell r="G12" t="str">
            <v>COOL-CAP-FT</v>
          </cell>
          <cell r="H12" t="str">
            <v>SDL-C5</v>
          </cell>
          <cell r="I12" t="str">
            <v>HP</v>
          </cell>
          <cell r="J12" t="str">
            <v>Cool Capacity = F(WB,WT)</v>
          </cell>
          <cell r="K12">
            <v>-0.2780377</v>
          </cell>
          <cell r="L12">
            <v>2.4830700000000001E-2</v>
          </cell>
          <cell r="M12">
            <v>-9.5000000000000005E-6</v>
          </cell>
          <cell r="N12">
            <v>-3.2731000000000001E-3</v>
          </cell>
          <cell r="O12">
            <v>6.9999999999999999E-6</v>
          </cell>
          <cell r="P12">
            <v>-2.7199999999999998E-6</v>
          </cell>
          <cell r="Q12" t="str">
            <v>BI-QUAD</v>
          </cell>
          <cell r="R12" t="str">
            <v>WB/WT</v>
          </cell>
          <cell r="S12" t="str">
            <v>CAP-FT</v>
          </cell>
          <cell r="T12" t="str">
            <v>Twb</v>
          </cell>
          <cell r="U12" t="str">
            <v>Tw</v>
          </cell>
          <cell r="V12">
            <v>30</v>
          </cell>
          <cell r="W12">
            <v>90</v>
          </cell>
          <cell r="X12">
            <v>60</v>
          </cell>
          <cell r="Y12">
            <v>120</v>
          </cell>
          <cell r="Z12">
            <v>10</v>
          </cell>
        </row>
        <row r="13">
          <cell r="E13" t="str">
            <v>COOL-CAP-FT - Other</v>
          </cell>
          <cell r="F13"/>
          <cell r="G13" t="str">
            <v>COOL-CAP-FT</v>
          </cell>
          <cell r="H13" t="str">
            <v>SDL-C6</v>
          </cell>
          <cell r="I13" t="str">
            <v>WTR-CC</v>
          </cell>
          <cell r="J13" t="str">
            <v>Cool Capacity = F(WB,WT)</v>
          </cell>
          <cell r="K13">
            <v>0.94526330000000003</v>
          </cell>
          <cell r="L13">
            <v>-9.4199000000000001E-3</v>
          </cell>
          <cell r="M13">
            <v>2.2699999999999999E-4</v>
          </cell>
          <cell r="N13">
            <v>4.8050000000000002E-4</v>
          </cell>
          <cell r="O13">
            <v>-4.5000000000000001E-6</v>
          </cell>
          <cell r="P13">
            <v>-5.9900000000000002E-6</v>
          </cell>
          <cell r="Q13" t="str">
            <v>BI-QUAD</v>
          </cell>
          <cell r="R13" t="str">
            <v>WB-WT</v>
          </cell>
          <cell r="S13" t="str">
            <v>CAP-FT</v>
          </cell>
          <cell r="T13" t="str">
            <v>Twb</v>
          </cell>
          <cell r="U13" t="str">
            <v>Tw</v>
          </cell>
          <cell r="V13">
            <v>30</v>
          </cell>
          <cell r="W13">
            <v>90</v>
          </cell>
          <cell r="X13">
            <v>60</v>
          </cell>
          <cell r="Y13">
            <v>120</v>
          </cell>
          <cell r="Z13">
            <v>11</v>
          </cell>
        </row>
        <row r="14">
          <cell r="E14" t="str">
            <v>COOL-CAP-FT - Fan Coil</v>
          </cell>
          <cell r="F14"/>
          <cell r="G14" t="str">
            <v>COOL-CAP-FT</v>
          </cell>
          <cell r="H14" t="str">
            <v>SDL-C10</v>
          </cell>
          <cell r="I14" t="str">
            <v>TPFC, FPFC</v>
          </cell>
          <cell r="J14" t="str">
            <v>Cool Capacity = F(WB,DB)</v>
          </cell>
          <cell r="K14">
            <v>0.50388659999999996</v>
          </cell>
          <cell r="L14">
            <v>-8.6917599999999998E-2</v>
          </cell>
          <cell r="M14">
            <v>1.6846999999999999E-3</v>
          </cell>
          <cell r="N14">
            <v>3.3630399999999998E-2</v>
          </cell>
          <cell r="O14">
            <v>2.4780000000000001E-4</v>
          </cell>
          <cell r="P14">
            <v>-1.0296999999999999E-3</v>
          </cell>
          <cell r="Q14" t="str">
            <v>BI-QUAD</v>
          </cell>
          <cell r="R14" t="str">
            <v>WB/DB</v>
          </cell>
          <cell r="S14" t="str">
            <v>CAP-FT</v>
          </cell>
          <cell r="T14" t="str">
            <v>Twb</v>
          </cell>
          <cell r="U14" t="str">
            <v>Tdb</v>
          </cell>
          <cell r="V14">
            <v>60</v>
          </cell>
          <cell r="W14">
            <v>90</v>
          </cell>
          <cell r="X14">
            <v>60</v>
          </cell>
          <cell r="Y14">
            <v>90</v>
          </cell>
          <cell r="Z14">
            <v>12</v>
          </cell>
        </row>
        <row r="15">
          <cell r="E15" t="str">
            <v>COOL-CAP-FT - Other</v>
          </cell>
          <cell r="F15"/>
          <cell r="G15" t="str">
            <v>COOL-CAP-FT</v>
          </cell>
          <cell r="H15" t="str">
            <v>SDL-C7</v>
          </cell>
          <cell r="I15" t="str">
            <v>SZRH, MZS, DDS, SZCI, TPIU, FPIU, VAVS, RHFS, CBVAV, PIU</v>
          </cell>
          <cell r="J15" t="str">
            <v>Cool Capacity = F(WB,DB)</v>
          </cell>
          <cell r="K15">
            <v>2.5882584999999998</v>
          </cell>
          <cell r="L15">
            <v>-0.23058790000000001</v>
          </cell>
          <cell r="M15">
            <v>3.8359000000000002E-3</v>
          </cell>
          <cell r="N15">
            <v>0.1025812</v>
          </cell>
          <cell r="O15">
            <v>5.9840000000000002E-4</v>
          </cell>
          <cell r="P15">
            <v>-2.8720999999999998E-3</v>
          </cell>
          <cell r="Q15" t="str">
            <v>BI-QUAD</v>
          </cell>
          <cell r="R15" t="str">
            <v>WB/DB</v>
          </cell>
          <cell r="S15" t="str">
            <v>CAP-FT</v>
          </cell>
          <cell r="T15" t="str">
            <v>Twb</v>
          </cell>
          <cell r="U15" t="str">
            <v>Tdb</v>
          </cell>
          <cell r="V15">
            <v>60</v>
          </cell>
          <cell r="W15">
            <v>90</v>
          </cell>
          <cell r="X15">
            <v>60</v>
          </cell>
          <cell r="Y15">
            <v>90</v>
          </cell>
          <cell r="Z15">
            <v>13</v>
          </cell>
        </row>
        <row r="16">
          <cell r="E16" t="str">
            <v>COIL-BF-FFLOW - PTAC</v>
          </cell>
          <cell r="F16"/>
          <cell r="G16" t="str">
            <v>COIL-BF-FFLOW</v>
          </cell>
          <cell r="H16" t="str">
            <v>SDL-C32</v>
          </cell>
          <cell r="I16" t="str">
            <v>PTAC</v>
          </cell>
          <cell r="J16" t="str">
            <v>Coil Bypass Factor = F(FLOW)</v>
          </cell>
          <cell r="K16">
            <v>-2.2770000000000001</v>
          </cell>
          <cell r="L16">
            <v>5.2114000000000003</v>
          </cell>
          <cell r="M16">
            <v>-1.9343999999999999</v>
          </cell>
          <cell r="N16">
            <v>0</v>
          </cell>
          <cell r="O16"/>
          <cell r="P16"/>
          <cell r="Q16" t="str">
            <v>QUAD</v>
          </cell>
          <cell r="R16" t="str">
            <v>CFM-PLR</v>
          </cell>
          <cell r="S16" t="str">
            <v>COIL-BF-FFLOW</v>
          </cell>
          <cell r="T16" t="str">
            <v>CFRM</v>
          </cell>
          <cell r="U16" t="str">
            <v>n.a.</v>
          </cell>
          <cell r="V16">
            <v>0</v>
          </cell>
          <cell r="W16">
            <v>1</v>
          </cell>
          <cell r="X16" t="str">
            <v>n.a.</v>
          </cell>
          <cell r="Y16" t="str">
            <v>n.a.</v>
          </cell>
          <cell r="Z16">
            <v>14</v>
          </cell>
        </row>
        <row r="17">
          <cell r="E17" t="str">
            <v>COIL-BF-FFLOW - HP</v>
          </cell>
          <cell r="F17"/>
          <cell r="G17" t="str">
            <v>COIL-BF-FFLOW</v>
          </cell>
          <cell r="H17" t="str">
            <v>SDL-C35</v>
          </cell>
          <cell r="I17" t="str">
            <v>HP</v>
          </cell>
          <cell r="J17" t="str">
            <v>Coil Bypass Factor = F(FLOW)</v>
          </cell>
          <cell r="K17">
            <v>-0.82816020000000001</v>
          </cell>
          <cell r="L17">
            <v>14.317914999999999</v>
          </cell>
          <cell r="M17">
            <v>-21.889440499999999</v>
          </cell>
          <cell r="N17">
            <v>9.3996896999999997</v>
          </cell>
          <cell r="O17"/>
          <cell r="P17"/>
          <cell r="Q17" t="str">
            <v>CUBIC</v>
          </cell>
          <cell r="R17" t="str">
            <v>CFM-PLR</v>
          </cell>
          <cell r="S17" t="str">
            <v>COIL-BF-FFLOW</v>
          </cell>
          <cell r="T17" t="str">
            <v>CFRM</v>
          </cell>
          <cell r="U17" t="str">
            <v>n.a.</v>
          </cell>
          <cell r="V17">
            <v>0.5</v>
          </cell>
          <cell r="W17">
            <v>1</v>
          </cell>
          <cell r="X17" t="str">
            <v>n.a.</v>
          </cell>
          <cell r="Y17" t="str">
            <v>n.a.</v>
          </cell>
          <cell r="Z17">
            <v>15</v>
          </cell>
        </row>
        <row r="18">
          <cell r="E18" t="str">
            <v>COIL-BF-FFLOW - PSZ / Other</v>
          </cell>
          <cell r="F18"/>
          <cell r="G18" t="str">
            <v>COIL-BF-FFLOW</v>
          </cell>
          <cell r="H18" t="str">
            <v>SDL-C33</v>
          </cell>
          <cell r="I18" t="str">
            <v>PSZ, PMZS, PVAVS</v>
          </cell>
          <cell r="J18" t="str">
            <v>Coil Bypass Factor = F(FLOW)</v>
          </cell>
          <cell r="K18">
            <v>-0.25423410000000002</v>
          </cell>
          <cell r="L18">
            <v>1.2182558000000001</v>
          </cell>
          <cell r="M18">
            <v>3.5978400000000001E-2</v>
          </cell>
          <cell r="N18">
            <v>0</v>
          </cell>
          <cell r="O18"/>
          <cell r="P18"/>
          <cell r="Q18" t="str">
            <v>QUAD</v>
          </cell>
          <cell r="R18" t="str">
            <v>CFM-PLR</v>
          </cell>
          <cell r="S18" t="str">
            <v>COIL-BF-FFLOW</v>
          </cell>
          <cell r="T18" t="str">
            <v>CFRM</v>
          </cell>
          <cell r="U18" t="str">
            <v>n.a.</v>
          </cell>
          <cell r="V18">
            <v>0</v>
          </cell>
          <cell r="W18">
            <v>1</v>
          </cell>
          <cell r="X18" t="str">
            <v>n.a.</v>
          </cell>
          <cell r="Y18" t="str">
            <v>n.a.</v>
          </cell>
          <cell r="Z18">
            <v>16</v>
          </cell>
        </row>
        <row r="19">
          <cell r="E19" t="str">
            <v>COIL-BF-FT - PTAC</v>
          </cell>
          <cell r="F19"/>
          <cell r="G19" t="str">
            <v>COIL-BF-FT</v>
          </cell>
          <cell r="H19" t="str">
            <v>SDL-C42</v>
          </cell>
          <cell r="I19" t="str">
            <v>PTAC</v>
          </cell>
          <cell r="J19" t="str">
            <v>Coil Bypass Factor = F(WB,EDB)</v>
          </cell>
          <cell r="K19">
            <v>-1.5713691000000001</v>
          </cell>
          <cell r="L19">
            <v>4.6963299999999999E-2</v>
          </cell>
          <cell r="M19">
            <v>3.1250000000000001E-4</v>
          </cell>
          <cell r="N19">
            <v>-6.5347000000000001E-3</v>
          </cell>
          <cell r="O19">
            <v>1.105E-4</v>
          </cell>
          <cell r="P19">
            <v>-3.7189999999999999E-4</v>
          </cell>
          <cell r="Q19" t="str">
            <v>BI-QUAD</v>
          </cell>
          <cell r="R19" t="str">
            <v>WB/EDB</v>
          </cell>
          <cell r="S19" t="str">
            <v>COIL-BF-FT</v>
          </cell>
          <cell r="T19" t="str">
            <v>Twb</v>
          </cell>
          <cell r="U19" t="str">
            <v>Tdb</v>
          </cell>
          <cell r="V19">
            <v>30</v>
          </cell>
          <cell r="W19">
            <v>90</v>
          </cell>
          <cell r="X19">
            <v>60</v>
          </cell>
          <cell r="Y19">
            <v>120</v>
          </cell>
          <cell r="Z19">
            <v>17</v>
          </cell>
        </row>
        <row r="20">
          <cell r="E20" t="str">
            <v>COIL-BF-FT - HP</v>
          </cell>
          <cell r="F20"/>
          <cell r="G20" t="str">
            <v>COIL-BF-FT</v>
          </cell>
          <cell r="H20" t="str">
            <v>SDL-C45</v>
          </cell>
          <cell r="I20" t="str">
            <v>HP</v>
          </cell>
          <cell r="J20" t="str">
            <v>Coil Bypass Factor = F(WB,WT)</v>
          </cell>
          <cell r="K20">
            <v>-29.939109800000001</v>
          </cell>
          <cell r="L20">
            <v>0.8753455</v>
          </cell>
          <cell r="M20">
            <v>0.16144500000000001</v>
          </cell>
          <cell r="N20">
            <v>0.16144500000000001</v>
          </cell>
          <cell r="O20">
            <v>2.9070000000000002E-4</v>
          </cell>
          <cell r="P20">
            <v>-3.1523E-4</v>
          </cell>
          <cell r="Q20" t="str">
            <v>BI-QUAD</v>
          </cell>
          <cell r="R20" t="str">
            <v>WB/WT</v>
          </cell>
          <cell r="S20" t="str">
            <v>COIL-BF-FT</v>
          </cell>
          <cell r="T20" t="str">
            <v>Twb</v>
          </cell>
          <cell r="U20" t="str">
            <v>Tdb</v>
          </cell>
          <cell r="V20">
            <v>30</v>
          </cell>
          <cell r="W20">
            <v>90</v>
          </cell>
          <cell r="X20">
            <v>60</v>
          </cell>
          <cell r="Y20">
            <v>120</v>
          </cell>
          <cell r="Z20">
            <v>18</v>
          </cell>
        </row>
        <row r="21">
          <cell r="E21" t="str">
            <v>COIL-BF-FT - PSZ / Other</v>
          </cell>
          <cell r="F21"/>
          <cell r="G21" t="str">
            <v>COIL-BF-FT</v>
          </cell>
          <cell r="H21"/>
          <cell r="I21"/>
          <cell r="J21"/>
          <cell r="K21">
            <v>1.0660053</v>
          </cell>
          <cell r="L21">
            <v>-5.1699999999999999E-4</v>
          </cell>
          <cell r="M21">
            <v>5.6700000000000003E-5</v>
          </cell>
          <cell r="N21">
            <v>-1.29181E-2</v>
          </cell>
          <cell r="O21">
            <v>-1.7E-6</v>
          </cell>
          <cell r="P21">
            <v>1.5029999999999999E-4</v>
          </cell>
          <cell r="Q21" t="str">
            <v>BI-QUAD</v>
          </cell>
          <cell r="R21" t="str">
            <v>WB/EDB</v>
          </cell>
          <cell r="S21" t="str">
            <v>COIL-BF-FT</v>
          </cell>
          <cell r="T21" t="str">
            <v>Twb</v>
          </cell>
          <cell r="U21" t="str">
            <v>Tdb</v>
          </cell>
          <cell r="V21">
            <v>30</v>
          </cell>
          <cell r="W21">
            <v>90</v>
          </cell>
          <cell r="X21">
            <v>60</v>
          </cell>
          <cell r="Y21">
            <v>120</v>
          </cell>
          <cell r="Z21">
            <v>19</v>
          </cell>
        </row>
        <row r="22">
          <cell r="E22" t="str">
            <v>COIL-BF-FT - All Systems</v>
          </cell>
          <cell r="F22"/>
          <cell r="G22" t="str">
            <v>COIL-BF-FPLR</v>
          </cell>
          <cell r="H22" t="str">
            <v>SDL-C120</v>
          </cell>
          <cell r="I22" t="str">
            <v>HP, PSZ, PMZS, PTAC, PVVT, PVAVS</v>
          </cell>
          <cell r="J22" t="str">
            <v>Coil Bypass Factor = F(PLR)</v>
          </cell>
          <cell r="K22">
            <v>0</v>
          </cell>
          <cell r="L22">
            <v>1</v>
          </cell>
          <cell r="M22"/>
          <cell r="N22"/>
          <cell r="O22"/>
          <cell r="P22"/>
          <cell r="Q22" t="str">
            <v>LINEAR</v>
          </cell>
          <cell r="R22" t="str">
            <v>PLR</v>
          </cell>
          <cell r="S22" t="str">
            <v>COIL-BF-FPLR</v>
          </cell>
          <cell r="T22" t="str">
            <v>PLR</v>
          </cell>
          <cell r="U22" t="str">
            <v>n.a.</v>
          </cell>
          <cell r="V22">
            <v>0</v>
          </cell>
          <cell r="W22">
            <v>1</v>
          </cell>
          <cell r="X22" t="str">
            <v>n.a.</v>
          </cell>
          <cell r="Y22" t="str">
            <v>n.a.</v>
          </cell>
          <cell r="Z22">
            <v>20</v>
          </cell>
        </row>
        <row r="23">
          <cell r="E23" t="str">
            <v>COOL-CAP-FFLOW - AllSystems</v>
          </cell>
          <cell r="F23"/>
          <cell r="G23" t="str">
            <v>COOL-CAP-FFLOW</v>
          </cell>
          <cell r="H23"/>
          <cell r="I23"/>
          <cell r="J23"/>
          <cell r="K23">
            <v>0.47278588999999999</v>
          </cell>
          <cell r="L23">
            <v>1.2433415000000001</v>
          </cell>
          <cell r="M23">
            <v>-1.0387055000000001</v>
          </cell>
          <cell r="N23">
            <v>0.32257813000000002</v>
          </cell>
          <cell r="O23"/>
          <cell r="P23"/>
          <cell r="Q23" t="str">
            <v>CUBIC</v>
          </cell>
          <cell r="R23" t="str">
            <v>CFMR</v>
          </cell>
          <cell r="S23" t="str">
            <v>COOL-CAP-FFLOW</v>
          </cell>
          <cell r="T23" t="str">
            <v>CFM</v>
          </cell>
          <cell r="U23" t="str">
            <v>n.a.</v>
          </cell>
          <cell r="V23">
            <v>0</v>
          </cell>
          <cell r="W23">
            <v>1</v>
          </cell>
          <cell r="X23" t="str">
            <v>n.a.</v>
          </cell>
          <cell r="Y23" t="str">
            <v>n.a.</v>
          </cell>
          <cell r="Z23">
            <v>21</v>
          </cell>
        </row>
        <row r="24">
          <cell r="E24" t="str">
            <v>COOL-EIR-FPLR - Water Source HP</v>
          </cell>
          <cell r="F24"/>
          <cell r="G24" t="str">
            <v>COOL-EIR-FPLR</v>
          </cell>
          <cell r="H24" t="str">
            <v>SDL-C16</v>
          </cell>
          <cell r="I24" t="str">
            <v>RESYS</v>
          </cell>
          <cell r="J24" t="str">
            <v>Cool EIR = F(PLR)</v>
          </cell>
          <cell r="K24">
            <v>0.125</v>
          </cell>
          <cell r="L24">
            <v>0.875</v>
          </cell>
          <cell r="M24">
            <v>0</v>
          </cell>
          <cell r="N24">
            <v>1.5421300000000001E-2</v>
          </cell>
          <cell r="O24"/>
          <cell r="P24"/>
          <cell r="Q24" t="str">
            <v>CUBIC</v>
          </cell>
          <cell r="R24" t="str">
            <v>PLR</v>
          </cell>
          <cell r="S24" t="str">
            <v>EIR-FPLR</v>
          </cell>
          <cell r="T24" t="str">
            <v>PLR</v>
          </cell>
          <cell r="U24" t="str">
            <v>n.a.</v>
          </cell>
          <cell r="V24">
            <v>0</v>
          </cell>
          <cell r="W24">
            <v>1</v>
          </cell>
          <cell r="X24" t="str">
            <v>n.a.</v>
          </cell>
          <cell r="Y24" t="str">
            <v>n.a.</v>
          </cell>
          <cell r="Z24">
            <v>21</v>
          </cell>
        </row>
        <row r="25">
          <cell r="E25" t="str">
            <v>COOL-EIR-FPLR - Water Source Other</v>
          </cell>
          <cell r="F25"/>
          <cell r="G25" t="str">
            <v>COOL-EIR-FPLR</v>
          </cell>
          <cell r="H25" t="str">
            <v>SDL-C19</v>
          </cell>
          <cell r="I25" t="str">
            <v>WTR-CC</v>
          </cell>
          <cell r="J25" t="str">
            <v>Cool EIR = F(PLR)</v>
          </cell>
          <cell r="K25">
            <v>0.2012301</v>
          </cell>
          <cell r="L25">
            <v>-3.1217499999999999E-2</v>
          </cell>
          <cell r="M25">
            <v>1.9504979</v>
          </cell>
          <cell r="N25"/>
          <cell r="O25"/>
          <cell r="P25"/>
          <cell r="Q25" t="str">
            <v>CUBIC</v>
          </cell>
          <cell r="R25" t="str">
            <v>PLR</v>
          </cell>
          <cell r="S25" t="str">
            <v>EIR-FPLR</v>
          </cell>
          <cell r="T25" t="str">
            <v>PLR</v>
          </cell>
          <cell r="U25" t="str">
            <v>n.a.</v>
          </cell>
          <cell r="V25">
            <v>0</v>
          </cell>
          <cell r="W25">
            <v>1</v>
          </cell>
          <cell r="X25" t="str">
            <v>n.a.</v>
          </cell>
          <cell r="Y25" t="str">
            <v>n.a.</v>
          </cell>
          <cell r="Z25">
            <v>22</v>
          </cell>
        </row>
        <row r="26">
          <cell r="E26" t="str">
            <v>COOL-EIR-FPLR - Air Source PTAC</v>
          </cell>
          <cell r="F26"/>
          <cell r="G26" t="str">
            <v>COOL-EIR-FPLR</v>
          </cell>
          <cell r="H26" t="str">
            <v>SDL-C16</v>
          </cell>
          <cell r="I26" t="str">
            <v>RESYS</v>
          </cell>
          <cell r="J26" t="str">
            <v>Cool EIR = F(PLR)</v>
          </cell>
          <cell r="K26">
            <v>0.125</v>
          </cell>
          <cell r="L26">
            <v>0.875</v>
          </cell>
          <cell r="M26">
            <v>0</v>
          </cell>
          <cell r="N26">
            <v>1.5421300000000001E-2</v>
          </cell>
          <cell r="O26"/>
          <cell r="P26"/>
          <cell r="Q26" t="str">
            <v>CUBIC</v>
          </cell>
          <cell r="R26" t="str">
            <v>PLR</v>
          </cell>
          <cell r="S26" t="str">
            <v>EIR-FPLR</v>
          </cell>
          <cell r="T26" t="str">
            <v>PLR</v>
          </cell>
          <cell r="U26" t="str">
            <v>n.a.</v>
          </cell>
          <cell r="V26">
            <v>0</v>
          </cell>
          <cell r="W26">
            <v>1</v>
          </cell>
          <cell r="X26" t="str">
            <v>n.a.</v>
          </cell>
          <cell r="Y26" t="str">
            <v>n.a.</v>
          </cell>
          <cell r="Z26">
            <v>23</v>
          </cell>
        </row>
        <row r="27">
          <cell r="E27" t="str">
            <v>COOL-EIR-FPLR - Air Source Other</v>
          </cell>
          <cell r="F27"/>
          <cell r="G27" t="str">
            <v>COOL-EIR-FPLR</v>
          </cell>
          <cell r="H27" t="str">
            <v>SDL-C18</v>
          </cell>
          <cell r="I27" t="str">
            <v>PSZ, PMZS, PVAVS</v>
          </cell>
          <cell r="J27" t="str">
            <v>Cool EIR = F(PLR)</v>
          </cell>
          <cell r="K27">
            <v>0.2012301</v>
          </cell>
          <cell r="L27">
            <v>-3.1217499999999999E-2</v>
          </cell>
          <cell r="M27">
            <v>1.9504979</v>
          </cell>
          <cell r="N27">
            <v>1.49672E-2</v>
          </cell>
          <cell r="O27"/>
          <cell r="P27"/>
          <cell r="Q27" t="str">
            <v>CUBIC</v>
          </cell>
          <cell r="R27" t="str">
            <v>PLR</v>
          </cell>
          <cell r="S27" t="str">
            <v>EIR-FPLR</v>
          </cell>
          <cell r="T27" t="str">
            <v>PLR</v>
          </cell>
          <cell r="U27" t="str">
            <v>n.a.</v>
          </cell>
          <cell r="V27">
            <v>0</v>
          </cell>
          <cell r="W27">
            <v>1</v>
          </cell>
          <cell r="X27" t="str">
            <v>n.a.</v>
          </cell>
          <cell r="Y27" t="str">
            <v>n.a.</v>
          </cell>
          <cell r="Z27">
            <v>24</v>
          </cell>
        </row>
        <row r="28">
          <cell r="E28" t="str">
            <v>COOL-EIR-FT - Water Source HP</v>
          </cell>
          <cell r="F28"/>
          <cell r="G28" t="str">
            <v>COOL-EIR-FT</v>
          </cell>
          <cell r="H28" t="str">
            <v>SDL-C15</v>
          </cell>
          <cell r="I28" t="str">
            <v>HP</v>
          </cell>
          <cell r="J28" t="str">
            <v>Cool EIR = F(WB,WT)</v>
          </cell>
          <cell r="K28">
            <v>2.0280385000000001</v>
          </cell>
          <cell r="L28">
            <v>-4.2309100000000002E-2</v>
          </cell>
          <cell r="M28">
            <v>3.054E-4</v>
          </cell>
          <cell r="N28">
            <v>1.3045999999999999E-3</v>
          </cell>
          <cell r="O28">
            <v>2.44E-5</v>
          </cell>
          <cell r="P28">
            <v>-1.64E-4</v>
          </cell>
          <cell r="Q28" t="str">
            <v>BI-QUAD</v>
          </cell>
          <cell r="R28" t="str">
            <v>WB/WT</v>
          </cell>
          <cell r="S28" t="str">
            <v>EIR-FT</v>
          </cell>
          <cell r="T28" t="str">
            <v>Twb</v>
          </cell>
          <cell r="U28" t="str">
            <v>Tw</v>
          </cell>
          <cell r="V28">
            <v>30</v>
          </cell>
          <cell r="W28">
            <v>90</v>
          </cell>
          <cell r="X28">
            <v>60</v>
          </cell>
          <cell r="Y28">
            <v>120</v>
          </cell>
          <cell r="Z28">
            <v>25</v>
          </cell>
        </row>
        <row r="29">
          <cell r="E29" t="str">
            <v>COOL-EIR-FT - Water Source Other</v>
          </cell>
          <cell r="F29"/>
          <cell r="G29" t="str">
            <v>COOL-EIR-FT</v>
          </cell>
          <cell r="H29" t="str">
            <v>SDL-C14</v>
          </cell>
          <cell r="I29" t="str">
            <v>WTR-CC</v>
          </cell>
          <cell r="J29" t="str">
            <v>Cool EIR = F(WB,EDB)</v>
          </cell>
          <cell r="K29">
            <v>-1.8394759999999999</v>
          </cell>
          <cell r="L29">
            <v>7.5136300000000003E-2</v>
          </cell>
          <cell r="M29">
            <v>-5.6860000000000005E-4</v>
          </cell>
          <cell r="N29">
            <v>3.2439000000000001E-3</v>
          </cell>
          <cell r="O29">
            <v>9.0099999999999995E-5</v>
          </cell>
          <cell r="P29">
            <v>-1.2180000000000001E-4</v>
          </cell>
          <cell r="Q29" t="str">
            <v>BI-QUAD</v>
          </cell>
          <cell r="R29" t="str">
            <v>WB/EDB</v>
          </cell>
          <cell r="S29" t="str">
            <v>EIR-FT</v>
          </cell>
          <cell r="T29" t="str">
            <v>Twb</v>
          </cell>
          <cell r="U29" t="str">
            <v>Tw</v>
          </cell>
          <cell r="V29">
            <v>30</v>
          </cell>
          <cell r="W29">
            <v>90</v>
          </cell>
          <cell r="X29">
            <v>60</v>
          </cell>
          <cell r="Y29">
            <v>120</v>
          </cell>
          <cell r="Z29">
            <v>26</v>
          </cell>
        </row>
        <row r="30">
          <cell r="E30" t="str">
            <v>COOL-EIR-FT - Air Source PTAC</v>
          </cell>
          <cell r="F30"/>
          <cell r="G30" t="str">
            <v>COOL-EIR-FT</v>
          </cell>
          <cell r="H30" t="str">
            <v>SDL-C12</v>
          </cell>
          <cell r="I30" t="str">
            <v>PTAC</v>
          </cell>
          <cell r="J30" t="str">
            <v>Cool EIR = F(WB,EDB)</v>
          </cell>
          <cell r="K30">
            <v>-0.65504609999999996</v>
          </cell>
          <cell r="L30">
            <v>3.8891000000000002E-2</v>
          </cell>
          <cell r="M30">
            <v>-1.9249999999999999E-4</v>
          </cell>
          <cell r="N30">
            <v>-8.5506000000000002E-3</v>
          </cell>
          <cell r="O30">
            <v>1.3520000000000001E-4</v>
          </cell>
          <cell r="P30">
            <v>-2.2469999999999999E-4</v>
          </cell>
          <cell r="Q30" t="str">
            <v>BI-QUAD</v>
          </cell>
          <cell r="R30" t="str">
            <v>WB/EDB</v>
          </cell>
          <cell r="S30" t="str">
            <v>EIR-FT</v>
          </cell>
          <cell r="T30" t="str">
            <v>Twb</v>
          </cell>
          <cell r="U30" t="str">
            <v>Todb</v>
          </cell>
          <cell r="V30">
            <v>30</v>
          </cell>
          <cell r="W30">
            <v>90</v>
          </cell>
          <cell r="X30">
            <v>60</v>
          </cell>
          <cell r="Y30">
            <v>120</v>
          </cell>
          <cell r="Z30">
            <v>27</v>
          </cell>
        </row>
        <row r="31">
          <cell r="E31" t="str">
            <v>COOL-EIR-FT - Air Source Other</v>
          </cell>
          <cell r="F31"/>
          <cell r="G31" t="str">
            <v>COOL-EIR-FT</v>
          </cell>
          <cell r="H31" t="str">
            <v>SDL-C89</v>
          </cell>
          <cell r="I31" t="str">
            <v>PVVT</v>
          </cell>
          <cell r="J31" t="str">
            <v>Cool EIR = F(WB,EDB)</v>
          </cell>
          <cell r="K31">
            <v>-1.063931</v>
          </cell>
          <cell r="L31">
            <v>0.30658400000000002</v>
          </cell>
          <cell r="M31">
            <v>-1.2689999999999999E-4</v>
          </cell>
          <cell r="N31">
            <v>1.5421300000000001E-2</v>
          </cell>
          <cell r="O31">
            <v>4.9700000000000002E-5</v>
          </cell>
          <cell r="P31">
            <v>-2.096E-4</v>
          </cell>
          <cell r="Q31" t="str">
            <v>BI-QUAD</v>
          </cell>
          <cell r="R31" t="str">
            <v>WB/EDB</v>
          </cell>
          <cell r="S31" t="str">
            <v>EIR-FT</v>
          </cell>
          <cell r="T31" t="str">
            <v>Twb</v>
          </cell>
          <cell r="U31" t="str">
            <v>Todb</v>
          </cell>
          <cell r="V31">
            <v>30</v>
          </cell>
          <cell r="W31">
            <v>90</v>
          </cell>
          <cell r="X31">
            <v>60</v>
          </cell>
          <cell r="Y31">
            <v>120</v>
          </cell>
          <cell r="Z31">
            <v>28</v>
          </cell>
        </row>
        <row r="32">
          <cell r="E32" t="str">
            <v>EFF-FFLOW - Direct</v>
          </cell>
          <cell r="F32"/>
          <cell r="G32"/>
          <cell r="H32"/>
          <cell r="I32"/>
          <cell r="J32"/>
          <cell r="K32">
            <v>1.1833</v>
          </cell>
          <cell r="L32">
            <v>-0.25752999999999998</v>
          </cell>
          <cell r="M32">
            <v>7.4245000000000005E-2</v>
          </cell>
          <cell r="N32"/>
          <cell r="O32"/>
          <cell r="P32"/>
          <cell r="Q32" t="str">
            <v>QUAD</v>
          </cell>
          <cell r="R32" t="str">
            <v>CFM-PLR</v>
          </cell>
          <cell r="S32" t="str">
            <v>EFF_FFLOW</v>
          </cell>
          <cell r="T32" t="str">
            <v>PLR</v>
          </cell>
          <cell r="U32" t="str">
            <v>n.a.</v>
          </cell>
          <cell r="V32">
            <v>0</v>
          </cell>
          <cell r="W32">
            <v>1</v>
          </cell>
          <cell r="X32" t="str">
            <v>n.a.</v>
          </cell>
          <cell r="Y32" t="str">
            <v>n.a.</v>
          </cell>
          <cell r="Z32">
            <v>29</v>
          </cell>
        </row>
        <row r="33">
          <cell r="E33" t="str">
            <v>EFF-FFLOW - Indirect</v>
          </cell>
          <cell r="F33"/>
          <cell r="G33"/>
          <cell r="H33"/>
          <cell r="I33"/>
          <cell r="J33"/>
          <cell r="K33">
            <v>1.097</v>
          </cell>
          <cell r="L33">
            <v>-0.16506000000000001</v>
          </cell>
          <cell r="M33">
            <v>6.8069000000000005E-2</v>
          </cell>
          <cell r="N33"/>
          <cell r="O33"/>
          <cell r="P33"/>
          <cell r="Q33" t="str">
            <v>QUAD</v>
          </cell>
          <cell r="R33" t="str">
            <v>CFM-PLR</v>
          </cell>
          <cell r="S33" t="str">
            <v>EFF_FFLOW</v>
          </cell>
          <cell r="T33" t="str">
            <v>PLR</v>
          </cell>
          <cell r="U33" t="str">
            <v>n.a.</v>
          </cell>
          <cell r="V33">
            <v>0</v>
          </cell>
          <cell r="W33">
            <v>1</v>
          </cell>
          <cell r="X33" t="str">
            <v>n.a.</v>
          </cell>
          <cell r="Y33" t="str">
            <v>n.a.</v>
          </cell>
          <cell r="Z33">
            <v>30</v>
          </cell>
        </row>
        <row r="34">
          <cell r="E34" t="str">
            <v>FURNACE-HIR-FPLR - All Furnaces</v>
          </cell>
          <cell r="F34"/>
          <cell r="G34" t="str">
            <v>FURNACE-HIR-FPLR</v>
          </cell>
          <cell r="H34" t="str">
            <v>SDL-C111</v>
          </cell>
          <cell r="I34" t="str">
            <v xml:space="preserve">SUM, SZRH, UVT, UHT, FPH, TPFC, FPFC, DDS, SZCI, MZS, TPIU, FPIU, VAVS, RHFS, PVVT, HVSYS, RESYS, CBVAV, PSZ, PMZS, PVAVS, PTAC, PIU, FNSYS1, HP, EVAPCOOL, PTGSD, RESVVT, </v>
          </cell>
          <cell r="J34" t="str">
            <v>Furnace HIR = F(PLR)</v>
          </cell>
          <cell r="K34">
            <v>1.8610000000000002E-2</v>
          </cell>
          <cell r="L34">
            <v>1.094209</v>
          </cell>
          <cell r="M34">
            <v>-0.112819</v>
          </cell>
          <cell r="N34"/>
          <cell r="O34"/>
          <cell r="P34"/>
          <cell r="Q34" t="str">
            <v>QUAD</v>
          </cell>
          <cell r="R34" t="str">
            <v>PLR</v>
          </cell>
          <cell r="S34" t="str">
            <v>FHeatPLC</v>
          </cell>
          <cell r="T34" t="str">
            <v>PLR</v>
          </cell>
          <cell r="U34" t="str">
            <v>n.a.</v>
          </cell>
          <cell r="V34">
            <v>0</v>
          </cell>
          <cell r="W34">
            <v>1</v>
          </cell>
          <cell r="X34" t="str">
            <v>n.a.</v>
          </cell>
          <cell r="Y34" t="str">
            <v>n.a.</v>
          </cell>
          <cell r="Z34">
            <v>31</v>
          </cell>
        </row>
        <row r="35">
          <cell r="E35" t="str">
            <v>HEAT-CAP-FT - Water Source</v>
          </cell>
          <cell r="F35"/>
          <cell r="G35" t="str">
            <v>HEAT-CAP-FT</v>
          </cell>
          <cell r="H35" t="str">
            <v>SDL-C55</v>
          </cell>
          <cell r="I35" t="str">
            <v>HP</v>
          </cell>
          <cell r="J35" t="str">
            <v>Heat Capacity = F(DB,WT)</v>
          </cell>
          <cell r="K35">
            <v>0.48865340000000002</v>
          </cell>
          <cell r="L35">
            <v>-6.7774000000000003E-3</v>
          </cell>
          <cell r="M35">
            <v>0</v>
          </cell>
          <cell r="N35">
            <v>1.4082300000000001E-2</v>
          </cell>
          <cell r="O35"/>
          <cell r="P35"/>
          <cell r="Q35" t="str">
            <v>BI-LINEAR</v>
          </cell>
          <cell r="R35" t="str">
            <v>DB/WT</v>
          </cell>
          <cell r="S35" t="str">
            <v>CAP-FT</v>
          </cell>
          <cell r="T35" t="str">
            <v>Twb</v>
          </cell>
          <cell r="U35" t="str">
            <v>Tw</v>
          </cell>
          <cell r="V35">
            <v>30</v>
          </cell>
          <cell r="W35">
            <v>90</v>
          </cell>
          <cell r="X35">
            <v>60</v>
          </cell>
          <cell r="Y35">
            <v>120</v>
          </cell>
          <cell r="Z35">
            <v>32</v>
          </cell>
        </row>
        <row r="36">
          <cell r="E36" t="str">
            <v>HEAT-CAP-FT - Air Source</v>
          </cell>
          <cell r="F36"/>
          <cell r="G36" t="str">
            <v>HEAT-CAP-FT</v>
          </cell>
          <cell r="H36" t="str">
            <v>SDL-C52</v>
          </cell>
          <cell r="I36" t="str">
            <v>PSZ, PVAVS, PTAC</v>
          </cell>
          <cell r="J36" t="str">
            <v>Heat Capacity = F(ODB/DB)</v>
          </cell>
          <cell r="K36">
            <v>0.25367139999999999</v>
          </cell>
          <cell r="L36">
            <v>1.0435099999999999E-2</v>
          </cell>
          <cell r="M36">
            <v>1.861E-4</v>
          </cell>
          <cell r="N36">
            <v>-1.5E-6</v>
          </cell>
          <cell r="O36"/>
          <cell r="P36"/>
          <cell r="Q36" t="str">
            <v>BI-LINEAR</v>
          </cell>
          <cell r="R36" t="str">
            <v>ODB/DB</v>
          </cell>
          <cell r="S36" t="str">
            <v>CAP-FT</v>
          </cell>
          <cell r="T36" t="str">
            <v>Twb</v>
          </cell>
          <cell r="U36" t="str">
            <v>Todb</v>
          </cell>
          <cell r="V36">
            <v>30</v>
          </cell>
          <cell r="W36">
            <v>90</v>
          </cell>
          <cell r="X36">
            <v>60</v>
          </cell>
          <cell r="Y36">
            <v>120</v>
          </cell>
          <cell r="Z36">
            <v>33</v>
          </cell>
        </row>
        <row r="37">
          <cell r="E37" t="str">
            <v xml:space="preserve">HEAT-EIR-FPLR - All </v>
          </cell>
          <cell r="F37"/>
          <cell r="G37" t="str">
            <v>HEAT-EIR-FPLR</v>
          </cell>
          <cell r="H37" t="str">
            <v>SDL-C65</v>
          </cell>
          <cell r="I37" t="str">
            <v>HP</v>
          </cell>
          <cell r="J37" t="str">
            <v>Heat EIR = F(DB,WT)</v>
          </cell>
          <cell r="K37">
            <v>8.5652199999999998E-2</v>
          </cell>
          <cell r="L37">
            <v>0.93881369999999997</v>
          </cell>
          <cell r="M37">
            <v>-0.18343609999999999</v>
          </cell>
          <cell r="N37">
            <v>0.15897020000000001</v>
          </cell>
          <cell r="O37"/>
          <cell r="P37"/>
          <cell r="Q37" t="str">
            <v>CUBIC</v>
          </cell>
          <cell r="R37" t="str">
            <v>DB/WT</v>
          </cell>
          <cell r="S37" t="str">
            <v>EIR-FPLR</v>
          </cell>
          <cell r="T37" t="str">
            <v>PLR</v>
          </cell>
          <cell r="U37" t="str">
            <v>n.a.</v>
          </cell>
          <cell r="V37">
            <v>0</v>
          </cell>
          <cell r="W37">
            <v>1</v>
          </cell>
          <cell r="X37" t="str">
            <v>n.a.</v>
          </cell>
          <cell r="Y37" t="str">
            <v>n.a.</v>
          </cell>
          <cell r="Z37">
            <v>34</v>
          </cell>
        </row>
        <row r="38">
          <cell r="E38" t="str">
            <v xml:space="preserve">HEAT-EIR-FT - Water Source </v>
          </cell>
          <cell r="F38"/>
          <cell r="G38" t="str">
            <v>HEAT-EIR-FT</v>
          </cell>
          <cell r="H38" t="str">
            <v>SDL-C107</v>
          </cell>
          <cell r="I38" t="str">
            <v>PVVT</v>
          </cell>
          <cell r="J38" t="str">
            <v>Heat EIR = F(ODB/DB)</v>
          </cell>
          <cell r="K38">
            <v>1.3876101999999999</v>
          </cell>
          <cell r="L38">
            <v>6.0479000000000002E-3</v>
          </cell>
          <cell r="M38">
            <v>0</v>
          </cell>
          <cell r="N38">
            <v>-1.15852E-2</v>
          </cell>
          <cell r="O38"/>
          <cell r="P38"/>
          <cell r="Q38" t="str">
            <v>BI-LINEAR</v>
          </cell>
          <cell r="R38" t="str">
            <v>ODB/DB</v>
          </cell>
          <cell r="S38" t="str">
            <v>EIR-FT</v>
          </cell>
          <cell r="T38" t="str">
            <v>Twt</v>
          </cell>
          <cell r="U38" t="str">
            <v>Todb</v>
          </cell>
          <cell r="V38">
            <v>60</v>
          </cell>
          <cell r="W38">
            <v>90</v>
          </cell>
          <cell r="X38">
            <v>60</v>
          </cell>
          <cell r="Y38">
            <v>120</v>
          </cell>
          <cell r="Z38">
            <v>35</v>
          </cell>
        </row>
        <row r="39">
          <cell r="E39" t="str">
            <v xml:space="preserve">HEAT-EIR-FT - Air Source </v>
          </cell>
          <cell r="F39"/>
          <cell r="G39" t="str">
            <v>HEAT-EIR-FT</v>
          </cell>
          <cell r="H39" t="str">
            <v>SDL-C57</v>
          </cell>
          <cell r="I39" t="str">
            <v>WTR-CC</v>
          </cell>
          <cell r="J39" t="str">
            <v>Heat EIR = F(DB,WT)</v>
          </cell>
          <cell r="K39">
            <v>2.4600298</v>
          </cell>
          <cell r="L39">
            <v>-0.62253899999999995</v>
          </cell>
          <cell r="M39">
            <v>8.8000000000000003E-4</v>
          </cell>
          <cell r="N39">
            <v>-4.6E-6</v>
          </cell>
          <cell r="O39"/>
          <cell r="P39"/>
          <cell r="Q39" t="str">
            <v>CUBIC</v>
          </cell>
          <cell r="R39" t="str">
            <v>DB/WT</v>
          </cell>
          <cell r="S39" t="str">
            <v>HEAT-EIR-FT</v>
          </cell>
          <cell r="T39" t="str">
            <v>Todb/Tdb</v>
          </cell>
          <cell r="U39" t="str">
            <v>n.a.</v>
          </cell>
          <cell r="V39">
            <v>0</v>
          </cell>
          <cell r="W39">
            <v>50</v>
          </cell>
          <cell r="X39" t="str">
            <v>n.a.</v>
          </cell>
          <cell r="Y39" t="str">
            <v>n.a.</v>
          </cell>
          <cell r="Z39">
            <v>36</v>
          </cell>
        </row>
        <row r="40">
          <cell r="E40" t="str">
            <v>DESC-T-FTW - All</v>
          </cell>
          <cell r="F40"/>
          <cell r="G40" t="str">
            <v>DESC-T-FTW</v>
          </cell>
          <cell r="H40" t="str">
            <v>SDL-C71</v>
          </cell>
          <cell r="I40" t="str">
            <v>SZRH, MZS, SZCI, VAVS, RHFS, PVAVS, HP, CBVAV, PSZ, FNSYS1, PVVT, DDS</v>
          </cell>
          <cell r="J40" t="str">
            <v>Add-on Desiccant Exit Temp. = F(T,W)</v>
          </cell>
          <cell r="K40">
            <v>11.5334997</v>
          </cell>
          <cell r="L40">
            <v>0.65867299999999995</v>
          </cell>
          <cell r="M40">
            <v>-1.0280000000000001E-3</v>
          </cell>
          <cell r="N40">
            <v>0.295041</v>
          </cell>
          <cell r="O40">
            <v>-1.7000000000000001E-4</v>
          </cell>
          <cell r="P40">
            <v>-8.7239999999999996E-4</v>
          </cell>
          <cell r="Q40" t="str">
            <v>BI-QUAD</v>
          </cell>
          <cell r="R40" t="str">
            <v>T,W</v>
          </cell>
          <cell r="S40" t="str">
            <v>DESC-GAS-FTW</v>
          </cell>
          <cell r="T40" t="str">
            <v>Tea</v>
          </cell>
          <cell r="U40" t="str">
            <v>W</v>
          </cell>
          <cell r="V40">
            <v>60</v>
          </cell>
          <cell r="W40">
            <v>120</v>
          </cell>
          <cell r="X40">
            <v>0</v>
          </cell>
          <cell r="Y40">
            <v>1</v>
          </cell>
          <cell r="Z40">
            <v>39</v>
          </cell>
        </row>
        <row r="41">
          <cell r="E41" t="str">
            <v>DESC-W-FTW - All</v>
          </cell>
          <cell r="F41"/>
          <cell r="G41" t="str">
            <v>DESC-W-FTW</v>
          </cell>
          <cell r="H41" t="str">
            <v>SDL-C72</v>
          </cell>
          <cell r="I41" t="str">
            <v>SZRH, MZS, SZCI, VAVS, RHFS, PVAVS, HP, CBVAV, PSZ, FNSYS1, PVVT, DDS</v>
          </cell>
          <cell r="J41" t="str">
            <v>Add-on Desiccant Exit Humidity Ratio = F(T,W)</v>
          </cell>
          <cell r="K41">
            <v>11.899399799999999</v>
          </cell>
          <cell r="L41">
            <v>-0.26955800000000002</v>
          </cell>
          <cell r="M41">
            <v>4.4648999999999999E-3</v>
          </cell>
          <cell r="N41">
            <v>8.3052500000000001E-2</v>
          </cell>
          <cell r="O41">
            <v>6.9740000000000004E-4</v>
          </cell>
          <cell r="P41">
            <v>1.5878999999999999E-3</v>
          </cell>
          <cell r="Q41" t="str">
            <v>BI-QUAD</v>
          </cell>
          <cell r="R41" t="str">
            <v>T,W</v>
          </cell>
          <cell r="S41" t="str">
            <v>DESC-W-FTW</v>
          </cell>
          <cell r="T41" t="str">
            <v>Tea</v>
          </cell>
          <cell r="U41" t="str">
            <v>W</v>
          </cell>
          <cell r="V41">
            <v>60</v>
          </cell>
          <cell r="W41">
            <v>120</v>
          </cell>
          <cell r="X41">
            <v>0</v>
          </cell>
          <cell r="Y41">
            <v>1</v>
          </cell>
          <cell r="Z41">
            <v>38</v>
          </cell>
        </row>
        <row r="42">
          <cell r="E42" t="str">
            <v>DESC-GAS-FTW - All</v>
          </cell>
          <cell r="F42"/>
          <cell r="G42" t="str">
            <v>DESC-GAS-FTW</v>
          </cell>
          <cell r="H42" t="str">
            <v>SDL-C73</v>
          </cell>
          <cell r="I42" t="str">
            <v>SZRH, MZS, SZCI, VAVS, RHFS, PVAVS, HP, CBVAV, PSZ, FNSYS1, PVVT, DDS</v>
          </cell>
          <cell r="J42" t="str">
            <v>Add-on Desiccant Gas Usage = F(T,W)</v>
          </cell>
          <cell r="K42">
            <v>58745.8007813</v>
          </cell>
          <cell r="L42">
            <v>-1134.4899902</v>
          </cell>
          <cell r="M42">
            <v>-3.6676099</v>
          </cell>
          <cell r="N42">
            <v>3874.5900879000001</v>
          </cell>
          <cell r="O42">
            <v>-1.6962699999999999</v>
          </cell>
          <cell r="P42">
            <v>-13.0732002</v>
          </cell>
          <cell r="Q42" t="str">
            <v>BI-QUAD</v>
          </cell>
          <cell r="R42" t="str">
            <v>T,W</v>
          </cell>
          <cell r="S42" t="str">
            <v>DESC-kW-FTW</v>
          </cell>
          <cell r="T42" t="str">
            <v>Tea</v>
          </cell>
          <cell r="U42" t="str">
            <v>W</v>
          </cell>
          <cell r="V42">
            <v>60</v>
          </cell>
          <cell r="W42">
            <v>120</v>
          </cell>
          <cell r="X42">
            <v>0</v>
          </cell>
          <cell r="Y42">
            <v>1</v>
          </cell>
          <cell r="Z42">
            <v>40</v>
          </cell>
        </row>
        <row r="43">
          <cell r="E43" t="str">
            <v>DESC-KW-FTW - All</v>
          </cell>
          <cell r="F43"/>
          <cell r="G43" t="str">
            <v>DESC-KW-FTW</v>
          </cell>
          <cell r="H43" t="str">
            <v>SDL-C74</v>
          </cell>
          <cell r="I43" t="str">
            <v>SZRH, MZS, SZCI, VAVS, RHFS, PVAVS, HP, CBVAV, PSZ, FNSYS1, PVVT, DDS</v>
          </cell>
          <cell r="J43" t="str">
            <v>Add-on Desiccant Aux. kW = F(T,W)</v>
          </cell>
          <cell r="K43">
            <v>3.5179</v>
          </cell>
          <cell r="L43">
            <v>-5.9316999999999998E-3</v>
          </cell>
          <cell r="M43">
            <v>0</v>
          </cell>
          <cell r="N43">
            <v>4.0400999999999996E-3</v>
          </cell>
          <cell r="O43"/>
          <cell r="P43"/>
          <cell r="Q43" t="str">
            <v>BI-QUAD</v>
          </cell>
          <cell r="R43" t="str">
            <v>T,W</v>
          </cell>
          <cell r="S43" t="str">
            <v>DESC-T-FTW</v>
          </cell>
          <cell r="T43" t="str">
            <v>Tea</v>
          </cell>
          <cell r="U43" t="str">
            <v>W</v>
          </cell>
          <cell r="V43">
            <v>60</v>
          </cell>
          <cell r="W43">
            <v>120</v>
          </cell>
          <cell r="X43">
            <v>0</v>
          </cell>
          <cell r="Y43">
            <v>1</v>
          </cell>
          <cell r="Z43">
            <v>37</v>
          </cell>
        </row>
        <row r="44">
          <cell r="E44" t="str">
            <v>FHEAT-PLC - All</v>
          </cell>
          <cell r="F44"/>
          <cell r="G44" t="str">
            <v>FHEAT-PLC</v>
          </cell>
          <cell r="H44"/>
          <cell r="I44"/>
          <cell r="J44"/>
          <cell r="K44">
            <v>8.2597000000000004E-2</v>
          </cell>
          <cell r="L44">
            <v>0.99676399999999998</v>
          </cell>
          <cell r="M44">
            <v>-7.9361000000000001E-2</v>
          </cell>
          <cell r="N44"/>
          <cell r="O44"/>
          <cell r="P44"/>
          <cell r="Q44" t="str">
            <v>QUAD</v>
          </cell>
          <cell r="R44" t="str">
            <v>Ratio Qpart/Qrated</v>
          </cell>
          <cell r="S44" t="str">
            <v>FHEAT-PLC</v>
          </cell>
          <cell r="T44" t="str">
            <v>Ratio Qpart/Qrated</v>
          </cell>
          <cell r="U44" t="str">
            <v>n.a.</v>
          </cell>
          <cell r="V44">
            <v>0</v>
          </cell>
          <cell r="W44">
            <v>1</v>
          </cell>
          <cell r="X44" t="str">
            <v>n.a.</v>
          </cell>
          <cell r="Y44" t="str">
            <v>n.a.</v>
          </cell>
          <cell r="Z44">
            <v>29</v>
          </cell>
        </row>
        <row r="45">
          <cell r="E45" t="str">
            <v>CHLR-CAP-FT - Air Cooled - Scroll</v>
          </cell>
          <cell r="F45"/>
          <cell r="G45" t="str">
            <v>CHLR-CAP-FT</v>
          </cell>
          <cell r="H45" t="str">
            <v>CCAPT51</v>
          </cell>
          <cell r="I45" t="str">
            <v/>
          </cell>
          <cell r="J45" t="str">
            <v>Compression Chiller Capacity = F(TOUT,TIN)</v>
          </cell>
          <cell r="K45">
            <v>0.40070679999999997</v>
          </cell>
          <cell r="L45">
            <v>1.8615400000000001E-2</v>
          </cell>
          <cell r="M45">
            <v>7.1899999999999999E-5</v>
          </cell>
          <cell r="N45">
            <v>1.7729E-3</v>
          </cell>
          <cell r="O45">
            <v>-2.0100000000000001E-5</v>
          </cell>
          <cell r="P45">
            <v>-8.2700000000000004E-5</v>
          </cell>
          <cell r="Q45" t="str">
            <v>BI-QUAD</v>
          </cell>
          <cell r="R45" t="str">
            <v>TOUT,TIN</v>
          </cell>
          <cell r="S45" t="str">
            <v>CAP-FT</v>
          </cell>
          <cell r="T45" t="str">
            <v>Tchws</v>
          </cell>
          <cell r="U45" t="str">
            <v>Todb</v>
          </cell>
          <cell r="V45">
            <v>40</v>
          </cell>
          <cell r="W45">
            <v>50</v>
          </cell>
          <cell r="X45">
            <v>60</v>
          </cell>
          <cell r="Y45">
            <v>120</v>
          </cell>
          <cell r="Z45">
            <v>41</v>
          </cell>
        </row>
        <row r="46">
          <cell r="E46" t="str">
            <v>CHLR-CAP-FT - Air Cooled - Reciprocating</v>
          </cell>
          <cell r="F46"/>
          <cell r="G46" t="str">
            <v>CHLR-CAP-FT</v>
          </cell>
          <cell r="H46" t="str">
            <v>CCAPT46</v>
          </cell>
          <cell r="I46" t="str">
            <v/>
          </cell>
          <cell r="J46" t="str">
            <v>Compression Chiller Capacity = F(TOUT,TIN)</v>
          </cell>
          <cell r="K46">
            <v>0.57617289999999999</v>
          </cell>
          <cell r="L46">
            <v>2.0631300000000002E-2</v>
          </cell>
          <cell r="M46">
            <v>7.7600000000000002E-5</v>
          </cell>
          <cell r="N46">
            <v>-3.5117999999999998E-3</v>
          </cell>
          <cell r="O46">
            <v>3.1E-6</v>
          </cell>
          <cell r="P46">
            <v>-7.86E-5</v>
          </cell>
          <cell r="Q46" t="str">
            <v>BI-QUAD</v>
          </cell>
          <cell r="R46" t="str">
            <v>TOUT,TIN</v>
          </cell>
          <cell r="S46" t="str">
            <v>CAP-FT</v>
          </cell>
          <cell r="T46" t="str">
            <v>Tchws</v>
          </cell>
          <cell r="U46" t="str">
            <v>Todb</v>
          </cell>
          <cell r="V46">
            <v>40</v>
          </cell>
          <cell r="W46">
            <v>50</v>
          </cell>
          <cell r="X46">
            <v>60</v>
          </cell>
          <cell r="Y46">
            <v>120</v>
          </cell>
          <cell r="Z46">
            <v>42</v>
          </cell>
        </row>
        <row r="47">
          <cell r="E47" t="str">
            <v>CHLR-CAP-FT - Air Cooled - Screw</v>
          </cell>
          <cell r="F47"/>
          <cell r="G47" t="str">
            <v>CHLR-CAP-FT</v>
          </cell>
          <cell r="H47"/>
          <cell r="I47"/>
          <cell r="J47"/>
          <cell r="K47">
            <v>-9.4648990000000002E-2</v>
          </cell>
          <cell r="L47">
            <v>3.8340699999999998E-2</v>
          </cell>
          <cell r="M47">
            <v>-9.2050000000000001E-5</v>
          </cell>
          <cell r="N47">
            <v>3.78007E-3</v>
          </cell>
          <cell r="O47">
            <v>-1.375E-5</v>
          </cell>
          <cell r="P47">
            <v>-1.5464E-4</v>
          </cell>
          <cell r="Q47" t="str">
            <v>BI-QUAD</v>
          </cell>
          <cell r="R47"/>
          <cell r="S47" t="str">
            <v>CAP-FT</v>
          </cell>
          <cell r="T47" t="str">
            <v>Tchws</v>
          </cell>
          <cell r="U47" t="str">
            <v>Todb</v>
          </cell>
          <cell r="V47">
            <v>40</v>
          </cell>
          <cell r="W47">
            <v>50</v>
          </cell>
          <cell r="X47">
            <v>60</v>
          </cell>
          <cell r="Y47">
            <v>120</v>
          </cell>
          <cell r="Z47">
            <v>43</v>
          </cell>
        </row>
        <row r="48">
          <cell r="E48" t="str">
            <v>CHLR-CAP-FT - Water Cooled - Scroll</v>
          </cell>
          <cell r="F48"/>
          <cell r="G48" t="str">
            <v>CHLR-CAP-FT</v>
          </cell>
          <cell r="H48" t="str">
            <v>CCAPT49</v>
          </cell>
          <cell r="I48" t="str">
            <v/>
          </cell>
          <cell r="J48" t="str">
            <v>Compression Chiller Capacity = F(TOUT,TIN)</v>
          </cell>
          <cell r="K48">
            <v>0.33269589999999999</v>
          </cell>
          <cell r="L48">
            <v>7.2911E-3</v>
          </cell>
          <cell r="M48">
            <v>-4.9930000000000005E-4</v>
          </cell>
          <cell r="N48">
            <v>1.5989799999999998E-2</v>
          </cell>
          <cell r="O48">
            <v>-2.8249999999999998E-4</v>
          </cell>
          <cell r="P48">
            <v>5.2340000000000004E-4</v>
          </cell>
          <cell r="Q48" t="str">
            <v>BI-QUAD</v>
          </cell>
          <cell r="R48" t="str">
            <v>TOUT,TIN</v>
          </cell>
          <cell r="S48" t="str">
            <v>CAP-FT</v>
          </cell>
          <cell r="T48" t="str">
            <v>Tchws</v>
          </cell>
          <cell r="U48" t="str">
            <v>Tcws</v>
          </cell>
          <cell r="V48">
            <v>40</v>
          </cell>
          <cell r="W48">
            <v>50</v>
          </cell>
          <cell r="X48">
            <v>60</v>
          </cell>
          <cell r="Y48">
            <v>90</v>
          </cell>
          <cell r="Z48">
            <v>44</v>
          </cell>
        </row>
        <row r="49">
          <cell r="E49" t="str">
            <v>CHLR-CAP-FT - Water Cooled - Reciprocating</v>
          </cell>
          <cell r="F49"/>
          <cell r="G49" t="str">
            <v>CHLR-CAP-FT</v>
          </cell>
          <cell r="H49" t="str">
            <v>CCAPT52</v>
          </cell>
          <cell r="I49" t="str">
            <v/>
          </cell>
          <cell r="J49" t="str">
            <v>Compression Chiller Capacity = F(TOUT,TIN)</v>
          </cell>
          <cell r="K49">
            <v>0.36131449999999998</v>
          </cell>
          <cell r="L49">
            <v>1.85547E-2</v>
          </cell>
          <cell r="M49">
            <v>3.01E-5</v>
          </cell>
          <cell r="N49">
            <v>9.3590000000000003E-4</v>
          </cell>
          <cell r="O49">
            <v>-1.5099999999999999E-5</v>
          </cell>
          <cell r="P49">
            <v>-5.4799999999999997E-5</v>
          </cell>
          <cell r="Q49" t="str">
            <v>BI-QUAD</v>
          </cell>
          <cell r="R49" t="str">
            <v>TOUT,TIN</v>
          </cell>
          <cell r="S49" t="str">
            <v>CAP-FT</v>
          </cell>
          <cell r="T49" t="str">
            <v>Tchws</v>
          </cell>
          <cell r="U49" t="str">
            <v>Tcws</v>
          </cell>
          <cell r="V49">
            <v>40</v>
          </cell>
          <cell r="W49">
            <v>50</v>
          </cell>
          <cell r="X49">
            <v>60</v>
          </cell>
          <cell r="Y49">
            <v>90</v>
          </cell>
          <cell r="Z49">
            <v>45</v>
          </cell>
        </row>
        <row r="50">
          <cell r="E50" t="str">
            <v>CHLR-CAP-FT - Water Cooled - Screw</v>
          </cell>
          <cell r="F50"/>
          <cell r="G50" t="str">
            <v>CHLR-CAP-FT</v>
          </cell>
          <cell r="H50" t="str">
            <v>CCAPT48</v>
          </cell>
          <cell r="I50" t="str">
            <v/>
          </cell>
          <cell r="J50" t="str">
            <v>Compression Chiller Capacity = F(TOUT,TIN)</v>
          </cell>
          <cell r="K50">
            <v>0.58531420000000001</v>
          </cell>
          <cell r="L50">
            <v>1.5395900000000001E-2</v>
          </cell>
          <cell r="M50">
            <v>7.2899999999999997E-5</v>
          </cell>
          <cell r="N50">
            <v>-2.1245999999999999E-3</v>
          </cell>
          <cell r="O50">
            <v>-7.0999999999999998E-6</v>
          </cell>
          <cell r="P50">
            <v>-4.5899999999999998E-5</v>
          </cell>
          <cell r="Q50" t="str">
            <v>BI-QUAD</v>
          </cell>
          <cell r="R50" t="str">
            <v>TOUT,TIN</v>
          </cell>
          <cell r="S50" t="str">
            <v>CAP-FT</v>
          </cell>
          <cell r="T50" t="str">
            <v>Tchws</v>
          </cell>
          <cell r="U50" t="str">
            <v>Tcws</v>
          </cell>
          <cell r="V50">
            <v>40</v>
          </cell>
          <cell r="W50">
            <v>50</v>
          </cell>
          <cell r="X50">
            <v>60</v>
          </cell>
          <cell r="Y50">
            <v>90</v>
          </cell>
          <cell r="Z50">
            <v>46</v>
          </cell>
        </row>
        <row r="51">
          <cell r="E51" t="str">
            <v>CHLR-CAP-FT - Water Cooled - Centrifugal</v>
          </cell>
          <cell r="F51"/>
          <cell r="G51" t="str">
            <v>CHLR-CAP-FT</v>
          </cell>
          <cell r="H51"/>
          <cell r="I51"/>
          <cell r="J51"/>
          <cell r="K51">
            <v>-0.29861976000000001</v>
          </cell>
          <cell r="L51">
            <v>2.9960759999999999E-2</v>
          </cell>
          <cell r="M51">
            <v>-8.0124999999999999E-4</v>
          </cell>
          <cell r="N51">
            <v>1.7362679999999998E-2</v>
          </cell>
          <cell r="O51">
            <v>-3.2605999999999998E-4</v>
          </cell>
          <cell r="P51">
            <v>6.3139000000000001E-4</v>
          </cell>
          <cell r="Q51" t="str">
            <v>BI-QUAD</v>
          </cell>
          <cell r="R51"/>
          <cell r="S51" t="str">
            <v>CAP-FT</v>
          </cell>
          <cell r="T51" t="str">
            <v>Tchws</v>
          </cell>
          <cell r="U51" t="str">
            <v>Tcws</v>
          </cell>
          <cell r="V51">
            <v>40</v>
          </cell>
          <cell r="W51">
            <v>50</v>
          </cell>
          <cell r="X51">
            <v>60</v>
          </cell>
          <cell r="Y51">
            <v>90</v>
          </cell>
          <cell r="Z51">
            <v>47</v>
          </cell>
        </row>
        <row r="52">
          <cell r="E52" t="str">
            <v>ABSOR-CAP-FT - Single Stage Absorption</v>
          </cell>
          <cell r="F52"/>
          <cell r="G52" t="str">
            <v>ABSOR-CAP-FT</v>
          </cell>
          <cell r="H52" t="str">
            <v>ACAPT1</v>
          </cell>
          <cell r="I52" t="str">
            <v/>
          </cell>
          <cell r="J52" t="str">
            <v>Absorption Chiller Capacity = F(TOUT,TIN)</v>
          </cell>
          <cell r="K52">
            <v>0.72341200000000005</v>
          </cell>
          <cell r="L52">
            <v>7.9006000000000007E-2</v>
          </cell>
          <cell r="M52">
            <v>-8.9700000000000001E-4</v>
          </cell>
          <cell r="N52">
            <v>-2.5284999999999998E-2</v>
          </cell>
          <cell r="O52">
            <v>-4.8000000000000001E-5</v>
          </cell>
          <cell r="P52">
            <v>2.7599999999999999E-4</v>
          </cell>
          <cell r="Q52" t="str">
            <v>BI-QUAD</v>
          </cell>
          <cell r="R52" t="str">
            <v>TOUT,TIN</v>
          </cell>
          <cell r="S52" t="str">
            <v>CAP-FT</v>
          </cell>
          <cell r="T52" t="str">
            <v>Tchws</v>
          </cell>
          <cell r="U52" t="str">
            <v>Tcws</v>
          </cell>
          <cell r="V52">
            <v>40</v>
          </cell>
          <cell r="W52">
            <v>50</v>
          </cell>
          <cell r="X52">
            <v>60</v>
          </cell>
          <cell r="Y52">
            <v>90</v>
          </cell>
          <cell r="Z52">
            <v>48</v>
          </cell>
        </row>
        <row r="53">
          <cell r="E53" t="str">
            <v>ABSOR-CAP-FT - Double Stage Absorption</v>
          </cell>
          <cell r="F53"/>
          <cell r="G53" t="str">
            <v>ABSOR-CAP-FT</v>
          </cell>
          <cell r="H53" t="str">
            <v>ACAPT2</v>
          </cell>
          <cell r="I53" t="str">
            <v/>
          </cell>
          <cell r="J53" t="str">
            <v>Absorption Chiller Capacity = F(TOUT,TIN)</v>
          </cell>
          <cell r="K53">
            <v>-0.81603899999999996</v>
          </cell>
          <cell r="L53">
            <v>-3.8706999999999998E-2</v>
          </cell>
          <cell r="M53">
            <v>4.4999999999999999E-4</v>
          </cell>
          <cell r="N53">
            <v>7.1490999999999999E-2</v>
          </cell>
          <cell r="O53">
            <v>-6.3599999999999996E-4</v>
          </cell>
          <cell r="P53">
            <v>3.1199999999999999E-4</v>
          </cell>
          <cell r="Q53" t="str">
            <v>BI-QUAD</v>
          </cell>
          <cell r="R53" t="str">
            <v>TOUT,TIN</v>
          </cell>
          <cell r="S53" t="str">
            <v>CAP-FT</v>
          </cell>
          <cell r="T53" t="str">
            <v>Tchws</v>
          </cell>
          <cell r="U53" t="str">
            <v>Tcws</v>
          </cell>
          <cell r="V53">
            <v>40</v>
          </cell>
          <cell r="W53">
            <v>50</v>
          </cell>
          <cell r="X53">
            <v>60</v>
          </cell>
          <cell r="Y53">
            <v>90</v>
          </cell>
          <cell r="Z53">
            <v>49</v>
          </cell>
        </row>
        <row r="54">
          <cell r="E54" t="str">
            <v>ABSOR-CAP-FT - Direct Fired Absorption</v>
          </cell>
          <cell r="F54"/>
          <cell r="G54" t="str">
            <v>ABSOR-CAP-FT</v>
          </cell>
          <cell r="H54" t="str">
            <v>ACAPT3</v>
          </cell>
          <cell r="I54" t="str">
            <v/>
          </cell>
          <cell r="J54" t="str">
            <v>Absorption Chiller Capacity = F(TOUT,TIN)</v>
          </cell>
          <cell r="K54">
            <v>1</v>
          </cell>
          <cell r="L54">
            <v>0</v>
          </cell>
          <cell r="M54">
            <v>0</v>
          </cell>
          <cell r="N54">
            <v>0</v>
          </cell>
          <cell r="O54">
            <v>0</v>
          </cell>
          <cell r="P54">
            <v>0</v>
          </cell>
          <cell r="Q54" t="str">
            <v>BI-QUAD</v>
          </cell>
          <cell r="R54" t="str">
            <v>TOUT,TIN</v>
          </cell>
          <cell r="S54" t="str">
            <v>CAP-FT</v>
          </cell>
          <cell r="T54" t="str">
            <v>Tchws</v>
          </cell>
          <cell r="U54" t="str">
            <v>Tcws</v>
          </cell>
          <cell r="V54">
            <v>40</v>
          </cell>
          <cell r="W54">
            <v>50</v>
          </cell>
          <cell r="X54">
            <v>60</v>
          </cell>
          <cell r="Y54">
            <v>90</v>
          </cell>
          <cell r="Z54">
            <v>50</v>
          </cell>
        </row>
        <row r="55">
          <cell r="E55" t="str">
            <v>ENGINE-CAP-FT - Engine Driven Chiller</v>
          </cell>
          <cell r="F55"/>
          <cell r="G55" t="str">
            <v>ABSOR-CAP-FT</v>
          </cell>
          <cell r="H55"/>
          <cell r="I55"/>
          <cell r="J55"/>
          <cell r="K55">
            <v>0.57359700000000002</v>
          </cell>
          <cell r="L55">
            <v>1.8680200000000001E-2</v>
          </cell>
          <cell r="M55">
            <v>0</v>
          </cell>
          <cell r="N55">
            <v>-4.6532500000000003E-3</v>
          </cell>
          <cell r="O55">
            <v>0</v>
          </cell>
          <cell r="P55">
            <v>0</v>
          </cell>
          <cell r="Q55" t="str">
            <v>BI-QUAD</v>
          </cell>
          <cell r="R55"/>
          <cell r="S55" t="str">
            <v>CAP-FT</v>
          </cell>
          <cell r="T55" t="str">
            <v>Tchws</v>
          </cell>
          <cell r="U55" t="str">
            <v>Tcws</v>
          </cell>
          <cell r="V55">
            <v>40</v>
          </cell>
          <cell r="W55">
            <v>50</v>
          </cell>
          <cell r="X55">
            <v>60</v>
          </cell>
          <cell r="Y55">
            <v>90</v>
          </cell>
          <cell r="Z55">
            <v>51</v>
          </cell>
        </row>
        <row r="56">
          <cell r="E56" t="str">
            <v>CHLR-EIR-FT - Air Cooled - Scroll</v>
          </cell>
          <cell r="F56"/>
          <cell r="G56" t="str">
            <v>CHLR-EIR-FT</v>
          </cell>
          <cell r="H56" t="str">
            <v>EIRT51</v>
          </cell>
          <cell r="I56" t="str">
            <v/>
          </cell>
          <cell r="J56" t="str">
            <v>Compression Chiller EIR = F(TOUT,TIN)</v>
          </cell>
          <cell r="K56">
            <v>0.99006550000000004</v>
          </cell>
          <cell r="L56">
            <v>-5.8414000000000001E-3</v>
          </cell>
          <cell r="M56">
            <v>1.6449999999999999E-4</v>
          </cell>
          <cell r="N56">
            <v>-6.6112999999999996E-3</v>
          </cell>
          <cell r="O56">
            <v>1.6799999999999999E-4</v>
          </cell>
          <cell r="P56">
            <v>-2.2499999999999999E-4</v>
          </cell>
          <cell r="Q56" t="str">
            <v>BI-QUAD</v>
          </cell>
          <cell r="R56" t="str">
            <v>TOUT,TIN</v>
          </cell>
          <cell r="S56" t="str">
            <v>EIR-FT</v>
          </cell>
          <cell r="T56" t="str">
            <v>Tchws</v>
          </cell>
          <cell r="U56" t="str">
            <v>Todb</v>
          </cell>
          <cell r="V56">
            <v>40</v>
          </cell>
          <cell r="W56">
            <v>50</v>
          </cell>
          <cell r="X56">
            <v>60</v>
          </cell>
          <cell r="Y56">
            <v>120</v>
          </cell>
          <cell r="Z56">
            <v>52</v>
          </cell>
        </row>
        <row r="57">
          <cell r="E57" t="str">
            <v>CHLR-EIR-FT - Air Cooled - Reciprocating</v>
          </cell>
          <cell r="F57"/>
          <cell r="G57" t="str">
            <v>CHLR-EIR-FT</v>
          </cell>
          <cell r="H57" t="str">
            <v>EIRT46</v>
          </cell>
          <cell r="I57" t="str">
            <v/>
          </cell>
          <cell r="J57" t="str">
            <v>Compression Chiller EIR = F(TOUT,TIN)</v>
          </cell>
          <cell r="K57">
            <v>0.66534400000000005</v>
          </cell>
          <cell r="L57">
            <v>-1.38382E-2</v>
          </cell>
          <cell r="M57">
            <v>1.473E-4</v>
          </cell>
          <cell r="N57">
            <v>7.1279999999999998E-3</v>
          </cell>
          <cell r="O57">
            <v>4.57E-5</v>
          </cell>
          <cell r="P57">
            <v>-1.032E-4</v>
          </cell>
          <cell r="Q57" t="str">
            <v>BI-QUAD</v>
          </cell>
          <cell r="R57" t="str">
            <v>TOUT,TIN</v>
          </cell>
          <cell r="S57" t="str">
            <v>EIR-FT</v>
          </cell>
          <cell r="T57" t="str">
            <v>Tchws</v>
          </cell>
          <cell r="U57" t="str">
            <v>Todb</v>
          </cell>
          <cell r="V57">
            <v>40</v>
          </cell>
          <cell r="W57">
            <v>50</v>
          </cell>
          <cell r="X57">
            <v>60</v>
          </cell>
          <cell r="Y57">
            <v>120</v>
          </cell>
          <cell r="Z57">
            <v>53</v>
          </cell>
        </row>
        <row r="58">
          <cell r="E58" t="str">
            <v>CHLR-EIR-FT - Air Cooled - Screw</v>
          </cell>
          <cell r="F58"/>
          <cell r="G58" t="str">
            <v>CHLR-EIR-FT</v>
          </cell>
          <cell r="H58" t="str">
            <v>EIRT47</v>
          </cell>
          <cell r="I58" t="str">
            <v/>
          </cell>
          <cell r="J58" t="str">
            <v>Compression Chiller EIR = F(TOUT,TIN)</v>
          </cell>
          <cell r="K58">
            <v>0.1354563</v>
          </cell>
          <cell r="L58">
            <v>2.2929399999999999E-2</v>
          </cell>
          <cell r="M58">
            <v>-1.6100000000000001E-4</v>
          </cell>
          <cell r="N58">
            <v>-2.3538999999999999E-3</v>
          </cell>
          <cell r="O58">
            <v>1.2990000000000001E-4</v>
          </cell>
          <cell r="P58">
            <v>-1.8679999999999999E-4</v>
          </cell>
          <cell r="Q58" t="str">
            <v>BI-QUAD</v>
          </cell>
          <cell r="R58" t="str">
            <v>TOUT,TIN</v>
          </cell>
          <cell r="S58" t="str">
            <v>EIR-FT</v>
          </cell>
          <cell r="T58" t="str">
            <v>Tchws</v>
          </cell>
          <cell r="U58" t="str">
            <v>Todb</v>
          </cell>
          <cell r="V58">
            <v>40</v>
          </cell>
          <cell r="W58">
            <v>50</v>
          </cell>
          <cell r="X58">
            <v>60</v>
          </cell>
          <cell r="Y58">
            <v>120</v>
          </cell>
          <cell r="Z58">
            <v>54</v>
          </cell>
        </row>
        <row r="59">
          <cell r="E59" t="str">
            <v>CHLR-EIR-FT - Water Cooled - Scroll</v>
          </cell>
          <cell r="F59"/>
          <cell r="G59" t="str">
            <v>CHLR-EIR-FT</v>
          </cell>
          <cell r="H59" t="str">
            <v>EIRT52</v>
          </cell>
          <cell r="I59" t="str">
            <v/>
          </cell>
          <cell r="J59" t="str">
            <v>Compression Chiller EIR = F(TOUT,TIN)</v>
          </cell>
          <cell r="K59">
            <v>1.0012143</v>
          </cell>
          <cell r="L59">
            <v>-1.0269800000000001E-2</v>
          </cell>
          <cell r="M59">
            <v>1.6699999999999999E-4</v>
          </cell>
          <cell r="N59">
            <v>-1.2813E-3</v>
          </cell>
          <cell r="O59">
            <v>1.461E-4</v>
          </cell>
          <cell r="P59">
            <v>-2.195E-4</v>
          </cell>
          <cell r="Q59" t="str">
            <v>BI-QUAD</v>
          </cell>
          <cell r="R59" t="str">
            <v>TOUT,TIN</v>
          </cell>
          <cell r="S59" t="str">
            <v>EIR-FT</v>
          </cell>
          <cell r="T59" t="str">
            <v>Tchws</v>
          </cell>
          <cell r="U59" t="str">
            <v>Tcws</v>
          </cell>
          <cell r="V59">
            <v>40</v>
          </cell>
          <cell r="W59">
            <v>50</v>
          </cell>
          <cell r="X59">
            <v>60</v>
          </cell>
          <cell r="Y59">
            <v>90</v>
          </cell>
          <cell r="Z59">
            <v>55</v>
          </cell>
        </row>
        <row r="60">
          <cell r="E60" t="str">
            <v>CHLR-EIR-FT - Water Cooled - Reciprocating</v>
          </cell>
          <cell r="F60"/>
          <cell r="G60" t="str">
            <v>CHLR-EIR-FT</v>
          </cell>
          <cell r="H60" t="str">
            <v>CS-1_EIR_FT</v>
          </cell>
          <cell r="I60" t="str">
            <v/>
          </cell>
          <cell r="J60" t="str">
            <v>Compression Chiller EIR = F(TOUT,TIN)</v>
          </cell>
          <cell r="K60">
            <v>0.46140040530282345</v>
          </cell>
          <cell r="L60">
            <v>-8.8215617077951943E-3</v>
          </cell>
          <cell r="M60">
            <v>8.2225051880013638E-5</v>
          </cell>
          <cell r="N60">
            <v>9.2660668508020381E-3</v>
          </cell>
          <cell r="O60">
            <v>5.7221031928888746E-5</v>
          </cell>
          <cell r="P60">
            <v>-1.1594028130290749E-4</v>
          </cell>
          <cell r="Q60" t="str">
            <v>BI-QUAD</v>
          </cell>
          <cell r="R60" t="str">
            <v>TOUT,TIN</v>
          </cell>
          <cell r="S60" t="str">
            <v>EIR-FT</v>
          </cell>
          <cell r="T60" t="str">
            <v>Tchws</v>
          </cell>
          <cell r="U60" t="str">
            <v>Tcws</v>
          </cell>
          <cell r="V60">
            <v>40</v>
          </cell>
          <cell r="W60">
            <v>50</v>
          </cell>
          <cell r="X60">
            <v>60</v>
          </cell>
          <cell r="Y60">
            <v>90</v>
          </cell>
          <cell r="Z60">
            <v>56</v>
          </cell>
        </row>
        <row r="61">
          <cell r="E61" t="str">
            <v>CHLR-EIR-FT - Water Cooled - Screw</v>
          </cell>
          <cell r="F61"/>
          <cell r="G61" t="str">
            <v>CHLR-EIR-FT</v>
          </cell>
          <cell r="H61" t="str">
            <v>EIRT49</v>
          </cell>
          <cell r="I61" t="str">
            <v/>
          </cell>
          <cell r="J61" t="str">
            <v>Compression Chiller EIR = F(TOUT,TIN)</v>
          </cell>
          <cell r="K61">
            <v>0.66625400000000001</v>
          </cell>
          <cell r="L61">
            <v>6.8579999999999997E-4</v>
          </cell>
          <cell r="M61">
            <v>2.8489999999999999E-4</v>
          </cell>
          <cell r="N61">
            <v>-3.4166999999999999E-3</v>
          </cell>
          <cell r="O61">
            <v>2.5480000000000001E-4</v>
          </cell>
          <cell r="P61">
            <v>-4.819E-4</v>
          </cell>
          <cell r="Q61" t="str">
            <v>BI-QUAD</v>
          </cell>
          <cell r="R61" t="str">
            <v>TOUT,TIN</v>
          </cell>
          <cell r="S61" t="str">
            <v>EIR-FT</v>
          </cell>
          <cell r="T61" t="str">
            <v>Tchws</v>
          </cell>
          <cell r="U61" t="str">
            <v>Tcws</v>
          </cell>
          <cell r="V61">
            <v>40</v>
          </cell>
          <cell r="W61">
            <v>50</v>
          </cell>
          <cell r="X61">
            <v>60</v>
          </cell>
          <cell r="Y61">
            <v>90</v>
          </cell>
          <cell r="Z61">
            <v>57</v>
          </cell>
        </row>
        <row r="62">
          <cell r="E62" t="str">
            <v>CHLR-EIR-FT - Water Cooled - Centrifugal</v>
          </cell>
          <cell r="F62"/>
          <cell r="G62" t="str">
            <v>CHLR-EIR-FT</v>
          </cell>
          <cell r="H62" t="str">
            <v>EIRT50</v>
          </cell>
          <cell r="I62" t="str">
            <v/>
          </cell>
          <cell r="J62" t="str">
            <v>Compression Chiller EIR = F(TOUT,TIN)</v>
          </cell>
          <cell r="K62">
            <v>0.51777189999999995</v>
          </cell>
          <cell r="L62">
            <v>-4.0036000000000004E-3</v>
          </cell>
          <cell r="M62">
            <v>2.02E-5</v>
          </cell>
          <cell r="N62">
            <v>6.9879E-3</v>
          </cell>
          <cell r="O62">
            <v>8.2899999999999996E-5</v>
          </cell>
          <cell r="P62">
            <v>-1.5459999999999999E-4</v>
          </cell>
          <cell r="Q62" t="str">
            <v>BI-QUAD</v>
          </cell>
          <cell r="R62" t="str">
            <v>TOUT,TIN</v>
          </cell>
          <cell r="S62" t="str">
            <v>EIR-FT</v>
          </cell>
          <cell r="T62" t="str">
            <v>Tchws</v>
          </cell>
          <cell r="U62" t="str">
            <v>Tcws</v>
          </cell>
          <cell r="V62">
            <v>40</v>
          </cell>
          <cell r="W62">
            <v>50</v>
          </cell>
          <cell r="X62">
            <v>60</v>
          </cell>
          <cell r="Y62">
            <v>90</v>
          </cell>
          <cell r="Z62">
            <v>58</v>
          </cell>
        </row>
        <row r="63">
          <cell r="E63" t="str">
            <v>CHLR-EIR-FPLR - Air Cooled - Scroll</v>
          </cell>
          <cell r="F63"/>
          <cell r="G63" t="str">
            <v>CHLR-EIR-FPLR</v>
          </cell>
          <cell r="H63" t="str">
            <v>EIRPLR51</v>
          </cell>
          <cell r="I63" t="str">
            <v/>
          </cell>
          <cell r="J63" t="str">
            <v>Compression Chiller EIR = F(PLR)</v>
          </cell>
          <cell r="K63">
            <v>6.36911E-2</v>
          </cell>
          <cell r="L63">
            <v>0.58488300000000004</v>
          </cell>
          <cell r="M63">
            <v>0.35280270000000002</v>
          </cell>
          <cell r="N63"/>
          <cell r="O63"/>
          <cell r="P63"/>
          <cell r="Q63" t="str">
            <v>QUAD</v>
          </cell>
          <cell r="R63" t="str">
            <v>PLR</v>
          </cell>
          <cell r="S63" t="str">
            <v>EIR-FT</v>
          </cell>
          <cell r="T63" t="str">
            <v>PLR</v>
          </cell>
          <cell r="U63" t="str">
            <v>n.a.</v>
          </cell>
          <cell r="V63">
            <v>0</v>
          </cell>
          <cell r="W63">
            <v>1</v>
          </cell>
          <cell r="X63" t="str">
            <v>n.a.</v>
          </cell>
          <cell r="Y63" t="str">
            <v>n.a.</v>
          </cell>
          <cell r="Z63">
            <v>59</v>
          </cell>
        </row>
        <row r="64">
          <cell r="E64" t="str">
            <v>CHLR-EIR-FPLR - Air Cooled - Reciprocating</v>
          </cell>
          <cell r="F64"/>
          <cell r="G64" t="str">
            <v>CHLR-EIR-FPLR</v>
          </cell>
          <cell r="H64" t="str">
            <v>EIRPLR46</v>
          </cell>
          <cell r="I64" t="str">
            <v/>
          </cell>
          <cell r="J64" t="str">
            <v>Compression Chiller EIR = F(PLR)</v>
          </cell>
          <cell r="K64">
            <v>0.11443739999999999</v>
          </cell>
          <cell r="L64">
            <v>0.54593340000000001</v>
          </cell>
          <cell r="M64">
            <v>0.34229860000000001</v>
          </cell>
          <cell r="N64"/>
          <cell r="O64"/>
          <cell r="P64"/>
          <cell r="Q64" t="str">
            <v>QUAD</v>
          </cell>
          <cell r="R64" t="str">
            <v>PLR</v>
          </cell>
          <cell r="S64" t="str">
            <v>EIR-FT</v>
          </cell>
          <cell r="T64" t="str">
            <v>PLR</v>
          </cell>
          <cell r="U64" t="str">
            <v>n.a.</v>
          </cell>
          <cell r="V64">
            <v>0</v>
          </cell>
          <cell r="W64">
            <v>1</v>
          </cell>
          <cell r="X64" t="str">
            <v>n.a.</v>
          </cell>
          <cell r="Y64" t="str">
            <v>n.a.</v>
          </cell>
          <cell r="Z64">
            <v>60</v>
          </cell>
        </row>
        <row r="65">
          <cell r="E65" t="str">
            <v>CHLR-EIR-FPLR - Air Cooled - Screw</v>
          </cell>
          <cell r="F65"/>
          <cell r="G65" t="str">
            <v>CHLR-EIR-FPLR</v>
          </cell>
          <cell r="H65" t="str">
            <v>EIRPLR47</v>
          </cell>
          <cell r="I65" t="str">
            <v/>
          </cell>
          <cell r="J65" t="str">
            <v>Compression Chiller EIR = F(PLR)</v>
          </cell>
          <cell r="K65">
            <v>3.6487199999999997E-2</v>
          </cell>
          <cell r="L65">
            <v>0.73474289999999998</v>
          </cell>
          <cell r="M65">
            <v>0.21994739999999999</v>
          </cell>
          <cell r="N65"/>
          <cell r="O65"/>
          <cell r="P65"/>
          <cell r="Q65" t="str">
            <v>QUAD</v>
          </cell>
          <cell r="R65" t="str">
            <v>PLR</v>
          </cell>
          <cell r="S65" t="str">
            <v>EIR-FT</v>
          </cell>
          <cell r="T65" t="str">
            <v>PLR</v>
          </cell>
          <cell r="U65" t="str">
            <v>n.a.</v>
          </cell>
          <cell r="V65">
            <v>0</v>
          </cell>
          <cell r="W65">
            <v>1</v>
          </cell>
          <cell r="X65" t="str">
            <v>n.a.</v>
          </cell>
          <cell r="Y65" t="str">
            <v>n.a.</v>
          </cell>
          <cell r="Z65">
            <v>61</v>
          </cell>
        </row>
        <row r="66">
          <cell r="E66" t="str">
            <v>CHLR-EIR-FPLR - Water Cooled - Scroll</v>
          </cell>
          <cell r="F66"/>
          <cell r="G66" t="str">
            <v>CHLR-EIR-FPLR</v>
          </cell>
          <cell r="H66" t="str">
            <v>EIRPLR48</v>
          </cell>
          <cell r="I66" t="str">
            <v/>
          </cell>
          <cell r="J66" t="str">
            <v>Compression Chiller EIR = F(PLR)</v>
          </cell>
          <cell r="K66">
            <v>8.1441299999999994E-2</v>
          </cell>
          <cell r="L66">
            <v>0.41927140000000002</v>
          </cell>
          <cell r="M66">
            <v>0.49939600000000001</v>
          </cell>
          <cell r="N66"/>
          <cell r="O66"/>
          <cell r="P66"/>
          <cell r="Q66" t="str">
            <v>QUAD</v>
          </cell>
          <cell r="R66" t="str">
            <v>PLR</v>
          </cell>
          <cell r="S66" t="str">
            <v>EIR-FT</v>
          </cell>
          <cell r="T66" t="str">
            <v>PLR</v>
          </cell>
          <cell r="U66" t="str">
            <v>n.a.</v>
          </cell>
          <cell r="V66">
            <v>0</v>
          </cell>
          <cell r="W66">
            <v>1</v>
          </cell>
          <cell r="X66" t="str">
            <v>n.a.</v>
          </cell>
          <cell r="Y66" t="str">
            <v>n.a.</v>
          </cell>
          <cell r="Z66">
            <v>62</v>
          </cell>
        </row>
        <row r="67">
          <cell r="E67" t="str">
            <v>CHLR-EIR-FPLR - Water Cooled - Reciprocating</v>
          </cell>
          <cell r="F67"/>
          <cell r="G67" t="str">
            <v>CHLR-EIR-FPLR</v>
          </cell>
          <cell r="H67" t="str">
            <v>EIRPLR49</v>
          </cell>
          <cell r="I67" t="str">
            <v/>
          </cell>
          <cell r="J67" t="str">
            <v>Compression Chiller EIR = F(PLR)</v>
          </cell>
          <cell r="K67">
            <v>0.33018829999999999</v>
          </cell>
          <cell r="L67">
            <v>0.2355429</v>
          </cell>
          <cell r="M67">
            <v>0.46070820000000001</v>
          </cell>
          <cell r="N67"/>
          <cell r="O67"/>
          <cell r="P67"/>
          <cell r="Q67" t="str">
            <v>QUAD</v>
          </cell>
          <cell r="R67" t="str">
            <v>PLR</v>
          </cell>
          <cell r="S67" t="str">
            <v>EIR-FT</v>
          </cell>
          <cell r="T67" t="str">
            <v>PLR</v>
          </cell>
          <cell r="U67" t="str">
            <v>n.a.</v>
          </cell>
          <cell r="V67">
            <v>0</v>
          </cell>
          <cell r="W67">
            <v>1</v>
          </cell>
          <cell r="X67" t="str">
            <v>n.a.</v>
          </cell>
          <cell r="Y67" t="str">
            <v>n.a.</v>
          </cell>
          <cell r="Z67">
            <v>63</v>
          </cell>
        </row>
        <row r="68">
          <cell r="E68" t="str">
            <v>CHLR-EIR-FPLR - Water Cooled - Screw</v>
          </cell>
          <cell r="F68"/>
          <cell r="G68" t="str">
            <v>CHLR-EIR-FPLR</v>
          </cell>
          <cell r="H68" t="str">
            <v>EIRPLR50</v>
          </cell>
          <cell r="I68" t="str">
            <v/>
          </cell>
          <cell r="J68" t="str">
            <v>Compression Chiller EIR = F(PLR)</v>
          </cell>
          <cell r="K68">
            <v>0.1714927</v>
          </cell>
          <cell r="L68">
            <v>0.588202</v>
          </cell>
          <cell r="M68">
            <v>0.23737249999999999</v>
          </cell>
          <cell r="N68"/>
          <cell r="O68"/>
          <cell r="P68"/>
          <cell r="Q68" t="str">
            <v>QUAD</v>
          </cell>
          <cell r="R68" t="str">
            <v>PLR</v>
          </cell>
          <cell r="S68" t="str">
            <v>EIR-FT</v>
          </cell>
          <cell r="T68" t="str">
            <v>PLR</v>
          </cell>
          <cell r="U68" t="str">
            <v>n.a.</v>
          </cell>
          <cell r="V68">
            <v>0</v>
          </cell>
          <cell r="W68">
            <v>1</v>
          </cell>
          <cell r="X68" t="str">
            <v>n.a.</v>
          </cell>
          <cell r="Y68" t="str">
            <v>n.a.</v>
          </cell>
          <cell r="Z68">
            <v>64</v>
          </cell>
        </row>
        <row r="69">
          <cell r="E69" t="str">
            <v>CHLR-EIR-FPLR - Water Cooled - Centrifugal</v>
          </cell>
          <cell r="F69"/>
          <cell r="G69" t="str">
            <v>CHLR-EIR-FPLR</v>
          </cell>
          <cell r="H69" t="str">
            <v>EIRPLR52</v>
          </cell>
          <cell r="I69" t="str">
            <v/>
          </cell>
          <cell r="J69" t="str">
            <v>Compression Chiller EIR = F(PLR)</v>
          </cell>
          <cell r="K69">
            <v>4.4119499999999999E-2</v>
          </cell>
          <cell r="L69">
            <v>0.64036700000000002</v>
          </cell>
          <cell r="M69">
            <v>0.31955529999999999</v>
          </cell>
          <cell r="N69"/>
          <cell r="O69"/>
          <cell r="P69"/>
          <cell r="Q69" t="str">
            <v>QUAD</v>
          </cell>
          <cell r="R69" t="str">
            <v>PLR</v>
          </cell>
          <cell r="S69" t="str">
            <v>EIR-FT</v>
          </cell>
          <cell r="T69" t="str">
            <v>PLR</v>
          </cell>
          <cell r="U69" t="str">
            <v>n.a.</v>
          </cell>
          <cell r="V69">
            <v>0</v>
          </cell>
          <cell r="W69">
            <v>1</v>
          </cell>
          <cell r="X69" t="str">
            <v>n.a.</v>
          </cell>
          <cell r="Y69" t="str">
            <v>n.a.</v>
          </cell>
          <cell r="Z69">
            <v>65</v>
          </cell>
        </row>
        <row r="70">
          <cell r="E70" t="str">
            <v>FIR-FPLR - Single Stage Absorption</v>
          </cell>
          <cell r="F70"/>
          <cell r="G70"/>
          <cell r="H70"/>
          <cell r="I70"/>
          <cell r="J70"/>
          <cell r="K70">
            <v>9.8585000000000006E-2</v>
          </cell>
          <cell r="L70">
            <v>0.58384999999999998</v>
          </cell>
          <cell r="M70">
            <v>0.56065799999999999</v>
          </cell>
          <cell r="N70">
            <v>-0.243093</v>
          </cell>
          <cell r="O70"/>
          <cell r="P70"/>
          <cell r="Q70" t="str">
            <v>QUAD</v>
          </cell>
          <cell r="R70"/>
          <cell r="S70" t="str">
            <v>FIR-FPLR</v>
          </cell>
          <cell r="T70" t="str">
            <v>PLR</v>
          </cell>
          <cell r="U70" t="str">
            <v>n.a.</v>
          </cell>
          <cell r="V70">
            <v>0</v>
          </cell>
          <cell r="W70">
            <v>1</v>
          </cell>
          <cell r="X70" t="str">
            <v>n.a.</v>
          </cell>
          <cell r="Y70" t="str">
            <v>n.a.</v>
          </cell>
          <cell r="Z70">
            <v>66</v>
          </cell>
        </row>
        <row r="71">
          <cell r="E71" t="str">
            <v>FIR-FPLR - Double Stage Absorption</v>
          </cell>
          <cell r="F71"/>
          <cell r="G71"/>
          <cell r="H71"/>
          <cell r="I71"/>
          <cell r="J71"/>
          <cell r="K71">
            <v>1.3993999999999999E-2</v>
          </cell>
          <cell r="L71">
            <v>1.2404489999999999</v>
          </cell>
          <cell r="M71">
            <v>-0.914883</v>
          </cell>
          <cell r="N71">
            <v>0.66044099999999994</v>
          </cell>
          <cell r="O71"/>
          <cell r="P71"/>
          <cell r="Q71" t="str">
            <v>QUAD</v>
          </cell>
          <cell r="R71"/>
          <cell r="S71" t="str">
            <v>FIR-FPLR</v>
          </cell>
          <cell r="T71" t="str">
            <v>PLR</v>
          </cell>
          <cell r="U71" t="str">
            <v>n.a.</v>
          </cell>
          <cell r="V71">
            <v>0</v>
          </cell>
          <cell r="W71">
            <v>1</v>
          </cell>
          <cell r="X71" t="str">
            <v>n.a.</v>
          </cell>
          <cell r="Y71" t="str">
            <v>n.a.</v>
          </cell>
          <cell r="Z71">
            <v>67</v>
          </cell>
        </row>
        <row r="72">
          <cell r="E72" t="str">
            <v>FIR-FPLR - Direct Fired Stage Absorption</v>
          </cell>
          <cell r="F72"/>
          <cell r="G72"/>
          <cell r="H72"/>
          <cell r="I72"/>
          <cell r="J72"/>
          <cell r="K72">
            <v>0.13551150000000001</v>
          </cell>
          <cell r="L72">
            <v>0.61798083999999998</v>
          </cell>
          <cell r="M72">
            <v>0.24651276999999999</v>
          </cell>
          <cell r="O72"/>
          <cell r="P72"/>
          <cell r="Q72" t="str">
            <v>QUAD</v>
          </cell>
          <cell r="R72"/>
          <cell r="S72" t="str">
            <v>FIR-FPLR</v>
          </cell>
          <cell r="T72" t="str">
            <v>PLR</v>
          </cell>
          <cell r="U72" t="str">
            <v>n.a.</v>
          </cell>
          <cell r="V72">
            <v>0</v>
          </cell>
          <cell r="W72">
            <v>1</v>
          </cell>
          <cell r="X72" t="str">
            <v>n.a.</v>
          </cell>
          <cell r="Y72" t="str">
            <v>n.a.</v>
          </cell>
          <cell r="Z72">
            <v>68</v>
          </cell>
        </row>
        <row r="73">
          <cell r="E73" t="str">
            <v>FIR-FPLR - Engine %Speed Less Than Minimum</v>
          </cell>
          <cell r="F73"/>
          <cell r="G73"/>
          <cell r="H73"/>
          <cell r="I73"/>
          <cell r="J73"/>
          <cell r="K73">
            <v>0.38019999999999998</v>
          </cell>
          <cell r="L73">
            <v>2.3609</v>
          </cell>
          <cell r="O73"/>
          <cell r="P73"/>
          <cell r="Q73" t="str">
            <v>QUAD</v>
          </cell>
          <cell r="R73"/>
          <cell r="S73" t="str">
            <v>FIR-FPLR</v>
          </cell>
          <cell r="T73" t="str">
            <v>PLR</v>
          </cell>
          <cell r="U73" t="str">
            <v>n.a.</v>
          </cell>
          <cell r="V73">
            <v>0</v>
          </cell>
          <cell r="W73">
            <v>1</v>
          </cell>
          <cell r="X73" t="str">
            <v>n.a.</v>
          </cell>
          <cell r="Y73" t="str">
            <v>n.a.</v>
          </cell>
          <cell r="Z73">
            <v>69</v>
          </cell>
        </row>
        <row r="74">
          <cell r="E74" t="str">
            <v>FIR-FPLR - Engine %Speed Minimum to 60%</v>
          </cell>
          <cell r="F74"/>
          <cell r="G74"/>
          <cell r="H74"/>
          <cell r="I74"/>
          <cell r="J74"/>
          <cell r="K74">
            <v>1.1433599999999999</v>
          </cell>
          <cell r="L74">
            <v>2.2889E-2</v>
          </cell>
          <cell r="O74"/>
          <cell r="P74"/>
          <cell r="Q74" t="str">
            <v>QUAD</v>
          </cell>
          <cell r="R74"/>
          <cell r="S74" t="str">
            <v>FIR-FPLR</v>
          </cell>
          <cell r="T74" t="str">
            <v>PLR</v>
          </cell>
          <cell r="U74" t="str">
            <v>n.a.</v>
          </cell>
          <cell r="V74">
            <v>0</v>
          </cell>
          <cell r="W74">
            <v>1</v>
          </cell>
          <cell r="X74" t="str">
            <v>n.a.</v>
          </cell>
          <cell r="Y74" t="str">
            <v>n.a.</v>
          </cell>
          <cell r="Z74">
            <v>70</v>
          </cell>
        </row>
        <row r="75">
          <cell r="E75" t="str">
            <v>FIR-FPLR - Engine %Speed More than 60% Minimum</v>
          </cell>
          <cell r="F75"/>
          <cell r="G75"/>
          <cell r="H75"/>
          <cell r="I75"/>
          <cell r="J75"/>
          <cell r="K75">
            <v>1.3886099999999999</v>
          </cell>
          <cell r="L75">
            <v>-0.38861400000000001</v>
          </cell>
          <cell r="M75"/>
          <cell r="N75"/>
          <cell r="O75"/>
          <cell r="P75"/>
          <cell r="Q75" t="str">
            <v>QUAD</v>
          </cell>
          <cell r="R75"/>
          <cell r="S75" t="str">
            <v>FIR-FPLR</v>
          </cell>
          <cell r="T75" t="str">
            <v>PLR</v>
          </cell>
          <cell r="U75" t="str">
            <v>n.a.</v>
          </cell>
          <cell r="V75">
            <v>0</v>
          </cell>
          <cell r="W75">
            <v>1</v>
          </cell>
          <cell r="X75" t="str">
            <v>n.a.</v>
          </cell>
          <cell r="Y75" t="str">
            <v>n.a.</v>
          </cell>
          <cell r="Z75">
            <v>71</v>
          </cell>
        </row>
        <row r="76">
          <cell r="E76" t="str">
            <v>FIR-FT - Single Stage Absorption</v>
          </cell>
          <cell r="F76"/>
          <cell r="G76"/>
          <cell r="H76"/>
          <cell r="I76"/>
          <cell r="J76"/>
          <cell r="K76">
            <v>0.65227299999999999</v>
          </cell>
          <cell r="L76">
            <v>0</v>
          </cell>
          <cell r="M76">
            <v>0</v>
          </cell>
          <cell r="N76">
            <v>-5.4500000000000002E-4</v>
          </cell>
          <cell r="O76">
            <v>5.5000000000000002E-5</v>
          </cell>
          <cell r="Q76" t="str">
            <v>BI-QUAD</v>
          </cell>
          <cell r="R76"/>
          <cell r="S76" t="str">
            <v>FIR-FT</v>
          </cell>
          <cell r="T76" t="str">
            <v>Tchws</v>
          </cell>
          <cell r="U76" t="str">
            <v>Tcws</v>
          </cell>
          <cell r="V76">
            <v>40</v>
          </cell>
          <cell r="W76">
            <v>50</v>
          </cell>
          <cell r="X76">
            <v>60</v>
          </cell>
          <cell r="Y76">
            <v>90</v>
          </cell>
          <cell r="Z76">
            <v>72</v>
          </cell>
        </row>
        <row r="77">
          <cell r="E77" t="str">
            <v>FIR-FT - Double Stage Absorption</v>
          </cell>
          <cell r="F77"/>
          <cell r="G77"/>
          <cell r="H77"/>
          <cell r="I77"/>
          <cell r="J77"/>
          <cell r="K77">
            <v>1.6587499999999999</v>
          </cell>
          <cell r="L77">
            <v>0</v>
          </cell>
          <cell r="M77">
            <v>0</v>
          </cell>
          <cell r="N77">
            <v>-0.28999999999999998</v>
          </cell>
          <cell r="O77">
            <v>2.5000000000000001E-4</v>
          </cell>
          <cell r="Q77" t="str">
            <v>BI-QUAD</v>
          </cell>
          <cell r="R77"/>
          <cell r="S77" t="str">
            <v>FIR-FT</v>
          </cell>
          <cell r="T77" t="str">
            <v>Tchws</v>
          </cell>
          <cell r="U77" t="str">
            <v>Tcws</v>
          </cell>
          <cell r="V77">
            <v>40</v>
          </cell>
          <cell r="W77">
            <v>50</v>
          </cell>
          <cell r="X77">
            <v>60</v>
          </cell>
          <cell r="Y77">
            <v>90</v>
          </cell>
          <cell r="Z77">
            <v>73</v>
          </cell>
        </row>
        <row r="78">
          <cell r="E78" t="str">
            <v>FIR-FT - Direct Fired Stage Absorption</v>
          </cell>
          <cell r="F78"/>
          <cell r="G78"/>
          <cell r="H78"/>
          <cell r="I78"/>
          <cell r="J78"/>
          <cell r="K78">
            <v>4.4287128400000002</v>
          </cell>
          <cell r="L78">
            <v>-0.13298607000000001</v>
          </cell>
          <cell r="M78">
            <v>1.2533100000000001E-3</v>
          </cell>
          <cell r="N78">
            <v>0.86173748999999999</v>
          </cell>
          <cell r="O78">
            <v>-7.0891699999999997E-3</v>
          </cell>
          <cell r="P78">
            <v>1.0250999999999999E-3</v>
          </cell>
          <cell r="Q78" t="str">
            <v>BI-QUAD</v>
          </cell>
          <cell r="R78"/>
          <cell r="S78" t="str">
            <v>FIR-FT</v>
          </cell>
          <cell r="T78" t="str">
            <v>Tchws</v>
          </cell>
          <cell r="U78" t="str">
            <v>Tcws</v>
          </cell>
          <cell r="V78">
            <v>40</v>
          </cell>
          <cell r="W78">
            <v>50</v>
          </cell>
          <cell r="X78">
            <v>60</v>
          </cell>
          <cell r="Y78">
            <v>90</v>
          </cell>
          <cell r="Z78">
            <v>74</v>
          </cell>
        </row>
        <row r="79">
          <cell r="E79" t="str">
            <v>FIR-FT - %Speed Less Than Minimum</v>
          </cell>
          <cell r="F79"/>
          <cell r="G79"/>
          <cell r="H79"/>
          <cell r="I79"/>
          <cell r="J79"/>
          <cell r="K79">
            <v>1.08815</v>
          </cell>
          <cell r="L79">
            <v>1.41064E-2</v>
          </cell>
          <cell r="M79">
            <v>0</v>
          </cell>
          <cell r="N79">
            <v>-8.3391200000000002E-3</v>
          </cell>
          <cell r="Q79" t="str">
            <v>BI-QUAD</v>
          </cell>
          <cell r="R79"/>
          <cell r="S79" t="str">
            <v>FIR-FT</v>
          </cell>
          <cell r="T79" t="str">
            <v>Tchws</v>
          </cell>
          <cell r="U79" t="str">
            <v>Tcws</v>
          </cell>
          <cell r="V79">
            <v>40</v>
          </cell>
          <cell r="W79">
            <v>50</v>
          </cell>
          <cell r="X79">
            <v>60</v>
          </cell>
          <cell r="Y79">
            <v>90</v>
          </cell>
          <cell r="Z79">
            <v>75</v>
          </cell>
        </row>
        <row r="80">
          <cell r="E80" t="str">
            <v>FIR-FT - %Speed Minimum to 60%</v>
          </cell>
          <cell r="F80"/>
          <cell r="G80"/>
          <cell r="H80"/>
          <cell r="I80"/>
          <cell r="J80"/>
          <cell r="K80">
            <v>1.23624</v>
          </cell>
          <cell r="L80">
            <v>1.6892299999999999E-2</v>
          </cell>
          <cell r="M80">
            <v>0</v>
          </cell>
          <cell r="N80">
            <v>-1.1523500000000001E-2</v>
          </cell>
          <cell r="Q80" t="str">
            <v>BI-QUAD</v>
          </cell>
          <cell r="R80"/>
          <cell r="S80" t="str">
            <v>FIR-FT</v>
          </cell>
          <cell r="T80" t="str">
            <v>Tchws</v>
          </cell>
          <cell r="U80" t="str">
            <v>Tcws</v>
          </cell>
          <cell r="V80">
            <v>40</v>
          </cell>
          <cell r="W80">
            <v>50</v>
          </cell>
          <cell r="X80">
            <v>60</v>
          </cell>
          <cell r="Y80">
            <v>90</v>
          </cell>
          <cell r="Z80">
            <v>76</v>
          </cell>
        </row>
        <row r="81">
          <cell r="E81" t="str">
            <v>FIR-FT - %Speed More than 60% Minimum</v>
          </cell>
          <cell r="F81"/>
          <cell r="G81"/>
          <cell r="H81"/>
          <cell r="I81"/>
          <cell r="J81"/>
          <cell r="K81">
            <v>1.23624</v>
          </cell>
          <cell r="L81">
            <v>1.6892299999999999E-2</v>
          </cell>
          <cell r="M81">
            <v>0</v>
          </cell>
          <cell r="N81">
            <v>-1.1523500000000001E-2</v>
          </cell>
          <cell r="O81"/>
          <cell r="P81"/>
          <cell r="Q81" t="str">
            <v>BI-QUAD</v>
          </cell>
          <cell r="R81"/>
          <cell r="S81" t="str">
            <v>FIR-FT</v>
          </cell>
          <cell r="T81" t="str">
            <v>Tchws</v>
          </cell>
          <cell r="U81" t="str">
            <v>Tcws</v>
          </cell>
          <cell r="V81">
            <v>40</v>
          </cell>
          <cell r="W81">
            <v>50</v>
          </cell>
          <cell r="X81">
            <v>60</v>
          </cell>
          <cell r="Y81">
            <v>90</v>
          </cell>
          <cell r="Z81">
            <v>77</v>
          </cell>
        </row>
        <row r="82">
          <cell r="E82" t="str">
            <v>FRA - All</v>
          </cell>
          <cell r="F82"/>
          <cell r="G82" t="str">
            <v>TWR-GPM-FRA</v>
          </cell>
          <cell r="H82" t="str">
            <v>GPMRA</v>
          </cell>
          <cell r="I82" t="str">
            <v/>
          </cell>
          <cell r="J82" t="str">
            <v>Intermediate tower capacity variable = F(RNG,APP)</v>
          </cell>
          <cell r="K82">
            <v>-2.2288889900000002</v>
          </cell>
          <cell r="L82">
            <v>0.16679542999999999</v>
          </cell>
          <cell r="M82">
            <v>-1.4102470000000001E-2</v>
          </cell>
          <cell r="N82">
            <v>3.2223330000000001E-2</v>
          </cell>
          <cell r="O82">
            <v>0.18560214</v>
          </cell>
          <cell r="P82">
            <v>0.24251871</v>
          </cell>
          <cell r="Q82" t="str">
            <v>SPECIAL</v>
          </cell>
          <cell r="R82" t="str">
            <v>RNG,FRA</v>
          </cell>
          <cell r="S82" t="str">
            <v>FRA</v>
          </cell>
          <cell r="T82" t="str">
            <v>tR</v>
          </cell>
          <cell r="U82" t="str">
            <v>tA</v>
          </cell>
          <cell r="Z82">
            <v>78</v>
          </cell>
        </row>
        <row r="83">
          <cell r="E83" t="str">
            <v>FRB - All</v>
          </cell>
          <cell r="F83"/>
          <cell r="G83" t="str">
            <v>TWR-GPM-FWB</v>
          </cell>
          <cell r="H83" t="str">
            <v>GPMWB</v>
          </cell>
          <cell r="I83" t="str">
            <v>HP, WTR-CC</v>
          </cell>
          <cell r="J83" t="str">
            <v>Tower Capacity Relative to CTI conditions = F(FRA,OWB)</v>
          </cell>
          <cell r="K83">
            <v>0.60531402000000001</v>
          </cell>
          <cell r="L83">
            <v>-3.5545359999999998E-2</v>
          </cell>
          <cell r="M83">
            <v>8.0408300000000005E-3</v>
          </cell>
          <cell r="N83">
            <v>-2.8602590000000001E-2</v>
          </cell>
          <cell r="O83">
            <v>2.4971999999999999E-4</v>
          </cell>
          <cell r="P83">
            <v>4.9085700000000001E-3</v>
          </cell>
          <cell r="Q83" t="str">
            <v>BI-QUAD</v>
          </cell>
          <cell r="R83" t="str">
            <v>FRA/OWB</v>
          </cell>
          <cell r="S83" t="str">
            <v>FWB</v>
          </cell>
          <cell r="T83" t="str">
            <v>FRA</v>
          </cell>
          <cell r="U83" t="str">
            <v>Towb</v>
          </cell>
          <cell r="V83"/>
          <cell r="W83"/>
          <cell r="X83">
            <v>30</v>
          </cell>
          <cell r="Y83">
            <v>90</v>
          </cell>
          <cell r="Z83">
            <v>79</v>
          </cell>
        </row>
        <row r="84">
          <cell r="E84" t="str">
            <v>TWR-FAN-FPLR - All VSD</v>
          </cell>
          <cell r="F84"/>
          <cell r="G84" t="str">
            <v>TWR-FAN-FPLR</v>
          </cell>
          <cell r="H84" t="str">
            <v>TWRFAN</v>
          </cell>
          <cell r="I84" t="str">
            <v>HP, WTR-CC</v>
          </cell>
          <cell r="J84" t="str">
            <v>Tower Fan hp = F(PLR)</v>
          </cell>
          <cell r="K84">
            <v>0.33162901</v>
          </cell>
          <cell r="L84">
            <v>-0.88567609000000003</v>
          </cell>
          <cell r="M84">
            <v>0.60556507000000004</v>
          </cell>
          <cell r="N84">
            <v>0.94848233000000004</v>
          </cell>
          <cell r="O84"/>
          <cell r="P84"/>
          <cell r="Q84" t="str">
            <v>CUBIC</v>
          </cell>
          <cell r="R84" t="str">
            <v>ARCELL</v>
          </cell>
          <cell r="S84" t="str">
            <v>TOWER-FAN-FPLR</v>
          </cell>
          <cell r="T84" t="str">
            <v>PLR</v>
          </cell>
          <cell r="U84" t="str">
            <v>n.a.</v>
          </cell>
          <cell r="V84">
            <v>0.4</v>
          </cell>
          <cell r="W84">
            <v>1</v>
          </cell>
          <cell r="X84" t="str">
            <v>n.a.</v>
          </cell>
          <cell r="Y84" t="str">
            <v>n.a.</v>
          </cell>
          <cell r="Z84">
            <v>80</v>
          </cell>
        </row>
        <row r="85">
          <cell r="E85" t="str">
            <v xml:space="preserve">Pump Part Load Curve - </v>
          </cell>
          <cell r="F85"/>
          <cell r="G85" t="str">
            <v>CIRC-PUMP-FPLR</v>
          </cell>
          <cell r="H85" t="str">
            <v>CIRC-PUMP-FPLR</v>
          </cell>
          <cell r="I85" t="str">
            <v>HP, WTR-CC</v>
          </cell>
          <cell r="J85" t="str">
            <v>Circulating pump = F(PLR)</v>
          </cell>
          <cell r="K85">
            <v>1.5330299999999999E-3</v>
          </cell>
          <cell r="L85">
            <v>5.2081000000000002E-3</v>
          </cell>
          <cell r="M85">
            <v>1.1086241999999999</v>
          </cell>
          <cell r="N85">
            <v>-0.1163556</v>
          </cell>
          <cell r="O85"/>
          <cell r="P85"/>
          <cell r="Q85" t="str">
            <v>CUBIC</v>
          </cell>
          <cell r="R85" t="str">
            <v>PLR</v>
          </cell>
          <cell r="S85" t="str">
            <v>CIRC-PUMP-FPLR</v>
          </cell>
          <cell r="T85" t="str">
            <v>PLR</v>
          </cell>
          <cell r="U85" t="str">
            <v>n.a.</v>
          </cell>
          <cell r="V85">
            <v>0.3</v>
          </cell>
          <cell r="W85">
            <v>1</v>
          </cell>
          <cell r="X85" t="str">
            <v>n.a.</v>
          </cell>
          <cell r="Y85" t="str">
            <v>n.a.</v>
          </cell>
          <cell r="Z85">
            <v>81</v>
          </cell>
        </row>
      </sheetData>
      <sheetData sheetId="3">
        <row r="6">
          <cell r="F6" t="e">
            <v>#N/A</v>
          </cell>
          <cell r="G6" t="e">
            <v>#N/A</v>
          </cell>
          <cell r="H6" t="e">
            <v>#N/A</v>
          </cell>
          <cell r="I6" t="e">
            <v>#N/A</v>
          </cell>
          <cell r="J6" t="e">
            <v>#N/A</v>
          </cell>
          <cell r="K6" t="e">
            <v>#N/A</v>
          </cell>
          <cell r="L6" t="e">
            <v>#N/A</v>
          </cell>
          <cell r="M6" t="e">
            <v>#N/A</v>
          </cell>
          <cell r="N6" t="e">
            <v>#N/A</v>
          </cell>
          <cell r="O6" t="e">
            <v>#N/A</v>
          </cell>
          <cell r="P6" t="e">
            <v>#N/A</v>
          </cell>
          <cell r="Q6" t="e">
            <v>#N/A</v>
          </cell>
          <cell r="R6" t="e">
            <v>#N/A</v>
          </cell>
        </row>
      </sheetData>
      <sheetData sheetId="4"/>
      <sheetData sheetId="5">
        <row r="3">
          <cell r="C3">
            <v>85</v>
          </cell>
        </row>
        <row r="52">
          <cell r="E52">
            <v>-2.2288889900000002</v>
          </cell>
          <cell r="F52">
            <v>0.16679542999999999</v>
          </cell>
          <cell r="G52">
            <v>-1.4102470000000001E-2</v>
          </cell>
          <cell r="H52">
            <v>3.2223330000000001E-2</v>
          </cell>
          <cell r="I52">
            <v>0.18560214</v>
          </cell>
          <cell r="J52">
            <v>0.24251871</v>
          </cell>
        </row>
        <row r="53">
          <cell r="E53">
            <v>0.60531402000000001</v>
          </cell>
          <cell r="F53">
            <v>-3.5545359999999998E-2</v>
          </cell>
          <cell r="G53">
            <v>8.0408300000000005E-3</v>
          </cell>
          <cell r="H53">
            <v>-2.8602590000000001E-2</v>
          </cell>
          <cell r="I53">
            <v>2.4971999999999999E-4</v>
          </cell>
          <cell r="J53">
            <v>4.9085700000000001E-3</v>
          </cell>
        </row>
      </sheetData>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www.comnet.org/reference-appendices"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hyperlink" Target="http://www.comnet.org/reference-appendice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98:V279"/>
  <sheetViews>
    <sheetView zoomScaleNormal="100" workbookViewId="0"/>
  </sheetViews>
  <sheetFormatPr defaultRowHeight="15" x14ac:dyDescent="0.25"/>
  <cols>
    <col min="1" max="3" width="9.140625" customWidth="1"/>
    <col min="4" max="4" width="10.28515625" customWidth="1"/>
    <col min="5" max="5" width="9.140625" customWidth="1"/>
    <col min="8" max="10" width="10.42578125" customWidth="1"/>
    <col min="11" max="11" width="15.42578125" customWidth="1"/>
    <col min="12" max="12" width="16.140625" customWidth="1"/>
    <col min="13" max="13" width="13.42578125" customWidth="1"/>
    <col min="14" max="14" width="11.85546875" customWidth="1"/>
    <col min="16" max="17" width="10.28515625" customWidth="1"/>
    <col min="18" max="18" width="11.7109375" customWidth="1"/>
    <col min="19" max="19" width="12.42578125" customWidth="1"/>
    <col min="20" max="22" width="10.28515625" customWidth="1"/>
  </cols>
  <sheetData>
    <row r="98" spans="2:7" ht="18.75" x14ac:dyDescent="0.3">
      <c r="B98" s="35" t="s">
        <v>17</v>
      </c>
      <c r="C98" s="35"/>
    </row>
    <row r="99" spans="2:7" x14ac:dyDescent="0.25">
      <c r="B99" s="36" t="s">
        <v>18</v>
      </c>
      <c r="C99" s="36"/>
      <c r="D99" s="36"/>
      <c r="E99" s="36"/>
      <c r="F99" s="36"/>
      <c r="G99" s="36"/>
    </row>
    <row r="125" spans="2:22" x14ac:dyDescent="0.25">
      <c r="B125" s="37"/>
      <c r="C125" s="37"/>
      <c r="D125" s="37"/>
      <c r="E125" s="37"/>
      <c r="F125" s="37"/>
      <c r="G125" s="37"/>
      <c r="P125" s="36" t="s">
        <v>19</v>
      </c>
      <c r="Q125" s="38"/>
      <c r="R125" s="39">
        <v>510</v>
      </c>
      <c r="S125" t="s">
        <v>20</v>
      </c>
    </row>
    <row r="126" spans="2:22" x14ac:dyDescent="0.25">
      <c r="B126" s="37"/>
      <c r="C126" s="37"/>
      <c r="D126" s="37"/>
      <c r="E126" s="37"/>
      <c r="F126" s="37"/>
      <c r="G126" s="37"/>
    </row>
    <row r="127" spans="2:22" x14ac:dyDescent="0.25">
      <c r="H127" s="36" t="s">
        <v>21</v>
      </c>
      <c r="I127" s="36"/>
      <c r="J127" s="36"/>
      <c r="K127" s="36"/>
      <c r="L127" s="36"/>
      <c r="M127" s="36"/>
      <c r="N127" s="37"/>
      <c r="P127" s="36" t="s">
        <v>22</v>
      </c>
      <c r="Q127" s="36"/>
      <c r="R127" s="36"/>
      <c r="S127" s="36"/>
      <c r="T127" s="36"/>
      <c r="U127" s="36"/>
      <c r="V127" s="36"/>
    </row>
    <row r="128" spans="2:22" x14ac:dyDescent="0.25">
      <c r="B128" s="36" t="s">
        <v>23</v>
      </c>
      <c r="C128" s="36"/>
      <c r="D128" s="36"/>
      <c r="E128" s="36"/>
      <c r="H128" s="36" t="s">
        <v>24</v>
      </c>
      <c r="I128" s="36"/>
      <c r="J128" s="36"/>
      <c r="K128" s="36"/>
      <c r="L128" s="36"/>
      <c r="M128" s="36"/>
      <c r="P128" s="36" t="s">
        <v>25</v>
      </c>
      <c r="Q128" s="36"/>
      <c r="R128" s="36"/>
      <c r="S128" s="36"/>
      <c r="T128" s="36"/>
      <c r="U128" s="36"/>
    </row>
    <row r="129" spans="2:22" x14ac:dyDescent="0.25">
      <c r="M129" s="97" t="s">
        <v>26</v>
      </c>
      <c r="N129" s="97"/>
      <c r="T129" t="s">
        <v>26</v>
      </c>
      <c r="V129" t="s">
        <v>26</v>
      </c>
    </row>
    <row r="130" spans="2:22" ht="15.75" thickBot="1" x14ac:dyDescent="0.3">
      <c r="B130" s="40" t="s">
        <v>27</v>
      </c>
      <c r="C130" s="40" t="s">
        <v>48</v>
      </c>
      <c r="D130" s="40" t="s">
        <v>42</v>
      </c>
      <c r="E130" s="40" t="s">
        <v>49</v>
      </c>
      <c r="F130" s="40" t="s">
        <v>45</v>
      </c>
      <c r="H130" s="40" t="s">
        <v>27</v>
      </c>
      <c r="I130" s="40" t="s">
        <v>43</v>
      </c>
      <c r="J130" s="40" t="s">
        <v>42</v>
      </c>
      <c r="K130" s="40" t="s">
        <v>44</v>
      </c>
      <c r="L130" s="40" t="s">
        <v>45</v>
      </c>
      <c r="M130" s="40" t="s">
        <v>46</v>
      </c>
      <c r="N130" s="40" t="s">
        <v>47</v>
      </c>
      <c r="P130" s="40" t="s">
        <v>27</v>
      </c>
      <c r="Q130" s="40" t="s">
        <v>48</v>
      </c>
      <c r="R130" s="40" t="s">
        <v>42</v>
      </c>
      <c r="S130" s="40" t="s">
        <v>49</v>
      </c>
      <c r="T130" s="40" t="s">
        <v>50</v>
      </c>
      <c r="U130" s="40" t="s">
        <v>47</v>
      </c>
      <c r="V130" s="40" t="s">
        <v>51</v>
      </c>
    </row>
    <row r="131" spans="2:22" ht="15.75" thickTop="1" x14ac:dyDescent="0.25">
      <c r="B131">
        <v>800</v>
      </c>
      <c r="C131">
        <v>72</v>
      </c>
      <c r="D131">
        <v>85</v>
      </c>
      <c r="E131">
        <v>43.6</v>
      </c>
      <c r="F131">
        <v>3.29</v>
      </c>
      <c r="H131" s="41">
        <v>1100</v>
      </c>
      <c r="I131" s="41">
        <v>72</v>
      </c>
      <c r="J131" s="41">
        <v>85</v>
      </c>
      <c r="K131" s="42">
        <v>46.9</v>
      </c>
      <c r="L131" s="41">
        <v>3.41</v>
      </c>
      <c r="M131" s="66">
        <f>$K131+($R$125*3.4121/1000)</f>
        <v>48.640170999999995</v>
      </c>
      <c r="N131" s="67">
        <f>$L131-$R$125/1000</f>
        <v>2.9000000000000004</v>
      </c>
      <c r="P131" s="41">
        <v>800</v>
      </c>
      <c r="Q131" s="41">
        <v>67</v>
      </c>
      <c r="R131" s="41">
        <v>95</v>
      </c>
      <c r="S131" s="43">
        <v>37.200000000000003</v>
      </c>
      <c r="T131" s="44">
        <f>$S131+($R$125*3.412/1000)</f>
        <v>38.94012</v>
      </c>
      <c r="U131" s="43">
        <v>3.41</v>
      </c>
      <c r="V131" s="45">
        <f>$U131-$R$125/1000</f>
        <v>2.9000000000000004</v>
      </c>
    </row>
    <row r="132" spans="2:22" x14ac:dyDescent="0.25">
      <c r="B132">
        <v>800</v>
      </c>
      <c r="C132">
        <v>67</v>
      </c>
      <c r="D132">
        <v>85</v>
      </c>
      <c r="E132">
        <v>39.4</v>
      </c>
      <c r="F132">
        <v>3.19</v>
      </c>
      <c r="H132" s="41">
        <v>1100</v>
      </c>
      <c r="I132" s="41">
        <v>67</v>
      </c>
      <c r="J132" s="41">
        <v>85</v>
      </c>
      <c r="K132" s="42">
        <v>42.5</v>
      </c>
      <c r="L132" s="41">
        <v>3.31</v>
      </c>
      <c r="M132" s="66">
        <f t="shared" ref="M132:M150" si="0">$K132+($R$125*3.4121/1000)</f>
        <v>44.240171000000004</v>
      </c>
      <c r="N132" s="67">
        <f t="shared" ref="N132:N150" si="1">$L132-$R$125/1000</f>
        <v>2.8</v>
      </c>
      <c r="P132" s="41">
        <v>900</v>
      </c>
      <c r="Q132" s="41">
        <v>67</v>
      </c>
      <c r="R132" s="41">
        <v>95</v>
      </c>
      <c r="S132" s="43">
        <v>38.299999999999997</v>
      </c>
      <c r="T132" s="44">
        <f t="shared" ref="T132:T135" si="2">$S132+($R$125*3.412/1000)</f>
        <v>40.040119999999995</v>
      </c>
      <c r="U132" s="43">
        <v>3.46</v>
      </c>
      <c r="V132" s="45">
        <f t="shared" ref="V132:V135" si="3">$U132-$R$125/1000</f>
        <v>2.95</v>
      </c>
    </row>
    <row r="133" spans="2:22" x14ac:dyDescent="0.25">
      <c r="B133">
        <v>800</v>
      </c>
      <c r="C133">
        <v>63</v>
      </c>
      <c r="D133">
        <v>85</v>
      </c>
      <c r="E133">
        <v>36.4</v>
      </c>
      <c r="F133">
        <v>3.11</v>
      </c>
      <c r="H133" s="41">
        <v>1100</v>
      </c>
      <c r="I133" s="41">
        <v>63</v>
      </c>
      <c r="J133" s="41">
        <v>85</v>
      </c>
      <c r="K133" s="42">
        <v>39.299999999999997</v>
      </c>
      <c r="L133" s="41">
        <v>3.23</v>
      </c>
      <c r="M133" s="66">
        <f t="shared" si="0"/>
        <v>41.040171000000001</v>
      </c>
      <c r="N133" s="67">
        <f t="shared" si="1"/>
        <v>2.7199999999999998</v>
      </c>
      <c r="P133" s="41">
        <v>990</v>
      </c>
      <c r="Q133" s="41">
        <v>67</v>
      </c>
      <c r="R133" s="41">
        <v>95</v>
      </c>
      <c r="S133" s="43">
        <v>39.200000000000003</v>
      </c>
      <c r="T133" s="44">
        <f t="shared" si="2"/>
        <v>40.94012</v>
      </c>
      <c r="U133" s="43">
        <v>3.5</v>
      </c>
      <c r="V133" s="45">
        <f t="shared" si="3"/>
        <v>2.99</v>
      </c>
    </row>
    <row r="134" spans="2:22" x14ac:dyDescent="0.25">
      <c r="B134">
        <v>800</v>
      </c>
      <c r="C134">
        <v>62</v>
      </c>
      <c r="D134">
        <v>85</v>
      </c>
      <c r="E134">
        <v>35.6</v>
      </c>
      <c r="F134">
        <v>3.09</v>
      </c>
      <c r="H134" s="41">
        <v>1100</v>
      </c>
      <c r="I134" s="41">
        <v>62</v>
      </c>
      <c r="J134" s="41">
        <v>85</v>
      </c>
      <c r="K134" s="42">
        <v>38.6</v>
      </c>
      <c r="L134" s="41">
        <v>3.21</v>
      </c>
      <c r="M134" s="66">
        <f t="shared" si="0"/>
        <v>40.340170999999998</v>
      </c>
      <c r="N134" s="67">
        <f t="shared" si="1"/>
        <v>2.7</v>
      </c>
      <c r="P134" s="41">
        <v>1100</v>
      </c>
      <c r="Q134" s="41">
        <v>67</v>
      </c>
      <c r="R134" s="41">
        <v>95</v>
      </c>
      <c r="S134" s="43">
        <v>40</v>
      </c>
      <c r="T134" s="44">
        <f t="shared" si="2"/>
        <v>41.740119999999997</v>
      </c>
      <c r="U134" s="43">
        <v>3.54</v>
      </c>
      <c r="V134" s="45">
        <f t="shared" si="3"/>
        <v>3.0300000000000002</v>
      </c>
    </row>
    <row r="135" spans="2:22" x14ac:dyDescent="0.25">
      <c r="B135">
        <v>800</v>
      </c>
      <c r="C135">
        <v>57</v>
      </c>
      <c r="D135">
        <v>85</v>
      </c>
      <c r="E135">
        <v>32.4</v>
      </c>
      <c r="F135" s="46">
        <v>3</v>
      </c>
      <c r="H135" s="41">
        <v>1100</v>
      </c>
      <c r="I135" s="41">
        <v>57</v>
      </c>
      <c r="J135" s="41">
        <v>85</v>
      </c>
      <c r="K135" s="42">
        <v>37</v>
      </c>
      <c r="L135" s="41">
        <v>3.17</v>
      </c>
      <c r="M135" s="66">
        <f t="shared" si="0"/>
        <v>38.740171000000004</v>
      </c>
      <c r="N135" s="67">
        <f t="shared" si="1"/>
        <v>2.66</v>
      </c>
      <c r="P135" s="41">
        <v>1225</v>
      </c>
      <c r="Q135" s="41">
        <v>67</v>
      </c>
      <c r="R135" s="41">
        <v>95</v>
      </c>
      <c r="S135" s="43">
        <v>40.799999999999997</v>
      </c>
      <c r="T135" s="44">
        <f t="shared" si="2"/>
        <v>42.540119999999995</v>
      </c>
      <c r="U135" s="43">
        <v>3.58</v>
      </c>
      <c r="V135" s="45">
        <f t="shared" si="3"/>
        <v>3.0700000000000003</v>
      </c>
    </row>
    <row r="136" spans="2:22" x14ac:dyDescent="0.25">
      <c r="B136">
        <v>900</v>
      </c>
      <c r="C136">
        <v>72</v>
      </c>
      <c r="D136">
        <v>85</v>
      </c>
      <c r="E136">
        <v>44.9</v>
      </c>
      <c r="F136">
        <v>3.33</v>
      </c>
      <c r="H136" s="41">
        <v>1100</v>
      </c>
      <c r="I136" s="41">
        <v>72</v>
      </c>
      <c r="J136" s="41">
        <v>95</v>
      </c>
      <c r="K136" s="42">
        <v>44.2</v>
      </c>
      <c r="L136" s="41">
        <v>3.66</v>
      </c>
      <c r="M136" s="66">
        <f t="shared" si="0"/>
        <v>45.940171000000007</v>
      </c>
      <c r="N136" s="67">
        <f t="shared" si="1"/>
        <v>3.1500000000000004</v>
      </c>
    </row>
    <row r="137" spans="2:22" x14ac:dyDescent="0.25">
      <c r="B137">
        <v>900</v>
      </c>
      <c r="C137">
        <v>67</v>
      </c>
      <c r="D137">
        <v>85</v>
      </c>
      <c r="E137">
        <v>40.6</v>
      </c>
      <c r="F137">
        <v>3.23</v>
      </c>
      <c r="H137" s="41">
        <v>1100</v>
      </c>
      <c r="I137" s="41">
        <v>67</v>
      </c>
      <c r="J137" s="41">
        <v>95</v>
      </c>
      <c r="K137" s="42">
        <v>40</v>
      </c>
      <c r="L137" s="41">
        <v>3.54</v>
      </c>
      <c r="M137" s="66">
        <f t="shared" si="0"/>
        <v>41.740171000000004</v>
      </c>
      <c r="N137" s="67">
        <f t="shared" si="1"/>
        <v>3.0300000000000002</v>
      </c>
    </row>
    <row r="138" spans="2:22" x14ac:dyDescent="0.25">
      <c r="B138">
        <v>900</v>
      </c>
      <c r="C138">
        <v>63</v>
      </c>
      <c r="D138">
        <v>85</v>
      </c>
      <c r="E138">
        <v>37.6</v>
      </c>
      <c r="F138">
        <v>3.16</v>
      </c>
      <c r="H138" s="41">
        <v>1100</v>
      </c>
      <c r="I138" s="41">
        <v>63</v>
      </c>
      <c r="J138" s="41">
        <v>95</v>
      </c>
      <c r="K138" s="42">
        <v>37</v>
      </c>
      <c r="L138" s="41">
        <v>3.45</v>
      </c>
      <c r="M138" s="66">
        <f t="shared" si="0"/>
        <v>38.740171000000004</v>
      </c>
      <c r="N138" s="67">
        <f t="shared" si="1"/>
        <v>2.9400000000000004</v>
      </c>
    </row>
    <row r="139" spans="2:22" x14ac:dyDescent="0.25">
      <c r="B139">
        <v>900</v>
      </c>
      <c r="C139">
        <v>62</v>
      </c>
      <c r="D139">
        <v>85</v>
      </c>
      <c r="E139">
        <v>36.700000000000003</v>
      </c>
      <c r="F139">
        <v>3.13</v>
      </c>
      <c r="H139" s="41">
        <v>1100</v>
      </c>
      <c r="I139" s="41">
        <v>62</v>
      </c>
      <c r="J139" s="41">
        <v>95</v>
      </c>
      <c r="K139" s="42">
        <v>36.200000000000003</v>
      </c>
      <c r="L139" s="41">
        <v>3.43</v>
      </c>
      <c r="M139" s="66">
        <f t="shared" si="0"/>
        <v>37.940171000000007</v>
      </c>
      <c r="N139" s="67">
        <f t="shared" si="1"/>
        <v>2.92</v>
      </c>
    </row>
    <row r="140" spans="2:22" x14ac:dyDescent="0.25">
      <c r="B140">
        <v>900</v>
      </c>
      <c r="C140">
        <v>57</v>
      </c>
      <c r="D140">
        <v>85</v>
      </c>
      <c r="E140">
        <v>34.1</v>
      </c>
      <c r="F140">
        <v>3.07</v>
      </c>
      <c r="H140" s="41">
        <v>1100</v>
      </c>
      <c r="I140" s="41">
        <v>57</v>
      </c>
      <c r="J140" s="41">
        <v>95</v>
      </c>
      <c r="K140" s="42">
        <v>35.200000000000003</v>
      </c>
      <c r="L140" s="41">
        <v>3.39</v>
      </c>
      <c r="M140" s="66">
        <f t="shared" si="0"/>
        <v>36.940171000000007</v>
      </c>
      <c r="N140" s="67">
        <f t="shared" si="1"/>
        <v>2.88</v>
      </c>
      <c r="R140" s="96" t="s">
        <v>28</v>
      </c>
      <c r="S140" s="96"/>
      <c r="T140" s="96"/>
    </row>
    <row r="141" spans="2:22" x14ac:dyDescent="0.25">
      <c r="B141">
        <v>990</v>
      </c>
      <c r="C141">
        <v>72</v>
      </c>
      <c r="D141">
        <v>85</v>
      </c>
      <c r="E141">
        <v>45.9</v>
      </c>
      <c r="F141">
        <v>3.37</v>
      </c>
      <c r="H141" s="41">
        <v>1100</v>
      </c>
      <c r="I141" s="41">
        <v>72</v>
      </c>
      <c r="J141" s="41">
        <v>105</v>
      </c>
      <c r="K141" s="42">
        <v>41.4</v>
      </c>
      <c r="L141" s="41">
        <v>3.9</v>
      </c>
      <c r="M141" s="66">
        <f t="shared" si="0"/>
        <v>43.140170999999995</v>
      </c>
      <c r="N141" s="67">
        <f t="shared" si="1"/>
        <v>3.3899999999999997</v>
      </c>
      <c r="R141" s="94" t="s">
        <v>29</v>
      </c>
      <c r="S141" s="94"/>
      <c r="T141" s="94"/>
    </row>
    <row r="142" spans="2:22" x14ac:dyDescent="0.25">
      <c r="B142">
        <v>990</v>
      </c>
      <c r="C142">
        <v>67</v>
      </c>
      <c r="D142">
        <v>85</v>
      </c>
      <c r="E142">
        <v>41.6</v>
      </c>
      <c r="F142">
        <v>3.27</v>
      </c>
      <c r="H142" s="41">
        <v>1100</v>
      </c>
      <c r="I142" s="41">
        <v>67</v>
      </c>
      <c r="J142" s="41">
        <v>105</v>
      </c>
      <c r="K142" s="42">
        <v>37.5</v>
      </c>
      <c r="L142" s="41">
        <v>3.76</v>
      </c>
      <c r="M142" s="66">
        <f t="shared" si="0"/>
        <v>39.240171000000004</v>
      </c>
      <c r="N142" s="67">
        <f t="shared" si="1"/>
        <v>3.25</v>
      </c>
      <c r="R142" s="95"/>
      <c r="S142" s="95"/>
      <c r="T142" s="95"/>
    </row>
    <row r="143" spans="2:22" ht="15.75" thickBot="1" x14ac:dyDescent="0.3">
      <c r="B143">
        <v>990</v>
      </c>
      <c r="C143">
        <v>63</v>
      </c>
      <c r="D143">
        <v>85</v>
      </c>
      <c r="E143">
        <v>38.5</v>
      </c>
      <c r="F143">
        <v>3.19</v>
      </c>
      <c r="H143" s="41">
        <v>1100</v>
      </c>
      <c r="I143" s="41">
        <v>63</v>
      </c>
      <c r="J143" s="41">
        <v>105</v>
      </c>
      <c r="K143" s="42">
        <v>34.5</v>
      </c>
      <c r="L143" s="41">
        <v>3.65</v>
      </c>
      <c r="M143" s="66">
        <f t="shared" si="0"/>
        <v>36.240171000000004</v>
      </c>
      <c r="N143" s="67">
        <f t="shared" si="1"/>
        <v>3.1399999999999997</v>
      </c>
      <c r="R143" s="47" t="s">
        <v>27</v>
      </c>
      <c r="S143" s="47" t="s">
        <v>49</v>
      </c>
      <c r="T143" s="47" t="s">
        <v>47</v>
      </c>
    </row>
    <row r="144" spans="2:22" ht="15.75" thickTop="1" x14ac:dyDescent="0.25">
      <c r="B144">
        <v>990</v>
      </c>
      <c r="C144">
        <v>62</v>
      </c>
      <c r="D144">
        <v>85</v>
      </c>
      <c r="E144">
        <v>37.6</v>
      </c>
      <c r="F144">
        <v>3.17</v>
      </c>
      <c r="H144" s="41">
        <v>1100</v>
      </c>
      <c r="I144" s="41">
        <v>62</v>
      </c>
      <c r="J144" s="41">
        <v>105</v>
      </c>
      <c r="K144" s="42">
        <v>33.9</v>
      </c>
      <c r="L144" s="41">
        <v>3.63</v>
      </c>
      <c r="M144" s="66">
        <f t="shared" si="0"/>
        <v>35.640170999999995</v>
      </c>
      <c r="N144" s="67">
        <f t="shared" si="1"/>
        <v>3.12</v>
      </c>
      <c r="R144" s="68">
        <f>P131</f>
        <v>800</v>
      </c>
      <c r="S144" s="66">
        <f>T131</f>
        <v>38.94012</v>
      </c>
      <c r="T144" s="66">
        <f>V131</f>
        <v>2.9000000000000004</v>
      </c>
    </row>
    <row r="145" spans="2:20" x14ac:dyDescent="0.25">
      <c r="B145">
        <v>990</v>
      </c>
      <c r="C145">
        <v>57</v>
      </c>
      <c r="D145">
        <v>85</v>
      </c>
      <c r="E145">
        <v>35.5</v>
      </c>
      <c r="F145">
        <v>3.12</v>
      </c>
      <c r="H145" s="41">
        <v>1100</v>
      </c>
      <c r="I145" s="41">
        <v>57</v>
      </c>
      <c r="J145" s="41">
        <v>105</v>
      </c>
      <c r="K145" s="42">
        <v>33.4</v>
      </c>
      <c r="L145" s="41">
        <v>3.61</v>
      </c>
      <c r="M145" s="66">
        <f t="shared" si="0"/>
        <v>35.140170999999995</v>
      </c>
      <c r="N145" s="67">
        <f t="shared" si="1"/>
        <v>3.0999999999999996</v>
      </c>
      <c r="R145" s="68">
        <f>P132</f>
        <v>900</v>
      </c>
      <c r="S145" s="66">
        <f>T132</f>
        <v>40.040119999999995</v>
      </c>
      <c r="T145" s="66">
        <f>V132</f>
        <v>2.95</v>
      </c>
    </row>
    <row r="146" spans="2:20" x14ac:dyDescent="0.25">
      <c r="B146">
        <v>1100</v>
      </c>
      <c r="C146">
        <v>72</v>
      </c>
      <c r="D146">
        <v>85</v>
      </c>
      <c r="E146">
        <v>46.9</v>
      </c>
      <c r="F146">
        <v>3.41</v>
      </c>
      <c r="H146" s="41">
        <v>1100</v>
      </c>
      <c r="I146" s="41">
        <v>72</v>
      </c>
      <c r="J146" s="41">
        <v>115</v>
      </c>
      <c r="K146" s="42">
        <v>38.700000000000003</v>
      </c>
      <c r="L146" s="41">
        <v>4.13</v>
      </c>
      <c r="M146" s="66">
        <f t="shared" si="0"/>
        <v>40.440171000000007</v>
      </c>
      <c r="N146" s="67">
        <f t="shared" si="1"/>
        <v>3.62</v>
      </c>
      <c r="R146" s="68">
        <f>P133</f>
        <v>990</v>
      </c>
      <c r="S146" s="66">
        <f>T133</f>
        <v>40.94012</v>
      </c>
      <c r="T146" s="66">
        <f>V133</f>
        <v>2.99</v>
      </c>
    </row>
    <row r="147" spans="2:20" x14ac:dyDescent="0.25">
      <c r="B147">
        <v>1100</v>
      </c>
      <c r="C147">
        <v>67</v>
      </c>
      <c r="D147">
        <v>85</v>
      </c>
      <c r="E147">
        <v>42.5</v>
      </c>
      <c r="F147">
        <v>3.31</v>
      </c>
      <c r="H147" s="41">
        <v>1100</v>
      </c>
      <c r="I147" s="41">
        <v>67</v>
      </c>
      <c r="J147" s="41">
        <v>115</v>
      </c>
      <c r="K147" s="42">
        <v>34.9</v>
      </c>
      <c r="L147" s="41">
        <v>3.97</v>
      </c>
      <c r="M147" s="66">
        <f t="shared" si="0"/>
        <v>36.640170999999995</v>
      </c>
      <c r="N147" s="67">
        <f t="shared" si="1"/>
        <v>3.46</v>
      </c>
      <c r="R147" s="68">
        <f>P134</f>
        <v>1100</v>
      </c>
      <c r="S147" s="66">
        <f>T134</f>
        <v>41.740119999999997</v>
      </c>
      <c r="T147" s="66">
        <f>V134</f>
        <v>3.0300000000000002</v>
      </c>
    </row>
    <row r="148" spans="2:20" x14ac:dyDescent="0.25">
      <c r="B148">
        <v>1100</v>
      </c>
      <c r="C148">
        <v>63</v>
      </c>
      <c r="D148">
        <v>85</v>
      </c>
      <c r="E148">
        <v>39.299999999999997</v>
      </c>
      <c r="F148">
        <v>3.23</v>
      </c>
      <c r="H148" s="41">
        <v>1100</v>
      </c>
      <c r="I148" s="41">
        <v>63</v>
      </c>
      <c r="J148" s="41">
        <v>115</v>
      </c>
      <c r="K148" s="42">
        <v>32.1</v>
      </c>
      <c r="L148" s="41">
        <v>3.85</v>
      </c>
      <c r="M148" s="66">
        <f t="shared" si="0"/>
        <v>33.840170999999998</v>
      </c>
      <c r="N148" s="67">
        <f t="shared" si="1"/>
        <v>3.34</v>
      </c>
      <c r="R148" s="68">
        <f>P135</f>
        <v>1225</v>
      </c>
      <c r="S148" s="66">
        <f>T135</f>
        <v>42.540119999999995</v>
      </c>
      <c r="T148" s="66">
        <f>V135</f>
        <v>3.0700000000000003</v>
      </c>
    </row>
    <row r="149" spans="2:20" x14ac:dyDescent="0.25">
      <c r="B149">
        <v>1100</v>
      </c>
      <c r="C149">
        <v>62</v>
      </c>
      <c r="D149">
        <v>85</v>
      </c>
      <c r="E149">
        <v>38.6</v>
      </c>
      <c r="F149">
        <v>3.21</v>
      </c>
      <c r="H149" s="41">
        <v>1100</v>
      </c>
      <c r="I149" s="41">
        <v>62</v>
      </c>
      <c r="J149" s="41">
        <v>115</v>
      </c>
      <c r="K149" s="42">
        <v>31.6</v>
      </c>
      <c r="L149" s="41">
        <v>3.82</v>
      </c>
      <c r="M149" s="66">
        <f t="shared" si="0"/>
        <v>33.340170999999998</v>
      </c>
      <c r="N149" s="67">
        <f t="shared" si="1"/>
        <v>3.3099999999999996</v>
      </c>
    </row>
    <row r="150" spans="2:20" x14ac:dyDescent="0.25">
      <c r="B150">
        <v>1100</v>
      </c>
      <c r="C150">
        <v>57</v>
      </c>
      <c r="D150">
        <v>85</v>
      </c>
      <c r="E150">
        <v>37</v>
      </c>
      <c r="F150">
        <v>3.17</v>
      </c>
      <c r="H150" s="41">
        <v>1100</v>
      </c>
      <c r="I150" s="41">
        <v>57</v>
      </c>
      <c r="J150" s="41">
        <v>115</v>
      </c>
      <c r="K150" s="42">
        <v>31.5</v>
      </c>
      <c r="L150" s="41">
        <v>3.82</v>
      </c>
      <c r="M150" s="66">
        <f t="shared" si="0"/>
        <v>33.240171000000004</v>
      </c>
      <c r="N150" s="67">
        <f t="shared" si="1"/>
        <v>3.3099999999999996</v>
      </c>
    </row>
    <row r="151" spans="2:20" x14ac:dyDescent="0.25">
      <c r="B151">
        <v>1225</v>
      </c>
      <c r="C151">
        <v>72</v>
      </c>
      <c r="D151">
        <v>85</v>
      </c>
      <c r="E151">
        <v>47.8</v>
      </c>
      <c r="F151">
        <v>3.44</v>
      </c>
    </row>
    <row r="152" spans="2:20" x14ac:dyDescent="0.25">
      <c r="B152">
        <v>1225</v>
      </c>
      <c r="C152">
        <v>67</v>
      </c>
      <c r="D152">
        <v>85</v>
      </c>
      <c r="E152">
        <v>43.4</v>
      </c>
      <c r="F152">
        <v>3.35</v>
      </c>
    </row>
    <row r="153" spans="2:20" x14ac:dyDescent="0.25">
      <c r="B153">
        <v>1225</v>
      </c>
      <c r="C153">
        <v>63</v>
      </c>
      <c r="D153">
        <v>85</v>
      </c>
      <c r="E153">
        <v>40.200000000000003</v>
      </c>
      <c r="F153">
        <v>3.27</v>
      </c>
    </row>
    <row r="154" spans="2:20" x14ac:dyDescent="0.25">
      <c r="B154">
        <v>1225</v>
      </c>
      <c r="C154">
        <v>62</v>
      </c>
      <c r="D154">
        <v>85</v>
      </c>
      <c r="E154">
        <v>39.4</v>
      </c>
      <c r="F154">
        <v>3.25</v>
      </c>
      <c r="I154" s="96" t="s">
        <v>28</v>
      </c>
      <c r="J154" s="96"/>
      <c r="K154" s="96"/>
      <c r="L154" s="96"/>
      <c r="Q154" s="46"/>
    </row>
    <row r="155" spans="2:20" x14ac:dyDescent="0.25">
      <c r="B155">
        <v>1225</v>
      </c>
      <c r="C155">
        <v>57</v>
      </c>
      <c r="D155">
        <v>85</v>
      </c>
      <c r="E155">
        <v>38.5</v>
      </c>
      <c r="F155">
        <v>3.23</v>
      </c>
      <c r="I155" s="94" t="s">
        <v>30</v>
      </c>
      <c r="J155" s="94"/>
      <c r="K155" s="94"/>
      <c r="L155" s="94"/>
      <c r="Q155" s="49"/>
    </row>
    <row r="156" spans="2:20" x14ac:dyDescent="0.25">
      <c r="B156">
        <v>800</v>
      </c>
      <c r="C156">
        <v>72</v>
      </c>
      <c r="D156">
        <v>95</v>
      </c>
      <c r="E156">
        <v>41.2</v>
      </c>
      <c r="F156">
        <v>3.53</v>
      </c>
      <c r="I156" s="95"/>
      <c r="J156" s="95"/>
      <c r="K156" s="95"/>
      <c r="L156" s="95"/>
      <c r="Q156" s="50"/>
    </row>
    <row r="157" spans="2:20" ht="15.75" thickBot="1" x14ac:dyDescent="0.3">
      <c r="B157">
        <v>800</v>
      </c>
      <c r="C157">
        <v>67</v>
      </c>
      <c r="D157">
        <v>95</v>
      </c>
      <c r="E157">
        <v>37.200000000000003</v>
      </c>
      <c r="F157">
        <v>3.41</v>
      </c>
      <c r="I157" s="51" t="s">
        <v>48</v>
      </c>
      <c r="J157" s="51" t="s">
        <v>42</v>
      </c>
      <c r="K157" s="51" t="s">
        <v>49</v>
      </c>
      <c r="L157" s="51" t="s">
        <v>52</v>
      </c>
      <c r="Q157" s="52"/>
    </row>
    <row r="158" spans="2:20" ht="15.75" thickTop="1" x14ac:dyDescent="0.25">
      <c r="B158">
        <v>800</v>
      </c>
      <c r="C158">
        <v>63</v>
      </c>
      <c r="D158">
        <v>95</v>
      </c>
      <c r="E158">
        <v>34.299999999999997</v>
      </c>
      <c r="F158">
        <v>3.32</v>
      </c>
      <c r="I158" s="48">
        <f>I131</f>
        <v>72</v>
      </c>
      <c r="J158" s="48">
        <f t="shared" ref="J158" si="4">J131</f>
        <v>85</v>
      </c>
      <c r="K158" s="44">
        <f>M131</f>
        <v>48.640170999999995</v>
      </c>
      <c r="L158" s="44">
        <f>N131</f>
        <v>2.9000000000000004</v>
      </c>
    </row>
    <row r="159" spans="2:20" x14ac:dyDescent="0.25">
      <c r="B159">
        <v>800</v>
      </c>
      <c r="C159">
        <v>62</v>
      </c>
      <c r="D159">
        <v>95</v>
      </c>
      <c r="E159">
        <v>33.6</v>
      </c>
      <c r="F159">
        <v>3.29</v>
      </c>
      <c r="I159" s="48">
        <f t="shared" ref="I159:J159" si="5">I132</f>
        <v>67</v>
      </c>
      <c r="J159" s="48">
        <f t="shared" si="5"/>
        <v>85</v>
      </c>
      <c r="K159" s="44">
        <f t="shared" ref="K159:K177" si="6">M132</f>
        <v>44.240171000000004</v>
      </c>
      <c r="L159" s="44">
        <f t="shared" ref="L159:L177" si="7">N132</f>
        <v>2.8</v>
      </c>
    </row>
    <row r="160" spans="2:20" x14ac:dyDescent="0.25">
      <c r="B160">
        <v>800</v>
      </c>
      <c r="C160">
        <v>57</v>
      </c>
      <c r="D160">
        <v>95</v>
      </c>
      <c r="E160">
        <v>30.9</v>
      </c>
      <c r="F160">
        <v>3.21</v>
      </c>
      <c r="I160" s="48">
        <f t="shared" ref="I160:J160" si="8">I133</f>
        <v>63</v>
      </c>
      <c r="J160" s="48">
        <f t="shared" si="8"/>
        <v>85</v>
      </c>
      <c r="K160" s="44">
        <f t="shared" si="6"/>
        <v>41.040171000000001</v>
      </c>
      <c r="L160" s="44">
        <f t="shared" si="7"/>
        <v>2.7199999999999998</v>
      </c>
    </row>
    <row r="161" spans="2:12" x14ac:dyDescent="0.25">
      <c r="B161">
        <v>900</v>
      </c>
      <c r="C161">
        <v>72</v>
      </c>
      <c r="D161">
        <v>95</v>
      </c>
      <c r="E161">
        <v>42.4</v>
      </c>
      <c r="F161">
        <v>3.58</v>
      </c>
      <c r="I161" s="48">
        <f t="shared" ref="I161:J161" si="9">I134</f>
        <v>62</v>
      </c>
      <c r="J161" s="48">
        <f t="shared" si="9"/>
        <v>85</v>
      </c>
      <c r="K161" s="44">
        <f t="shared" si="6"/>
        <v>40.340170999999998</v>
      </c>
      <c r="L161" s="44">
        <f t="shared" si="7"/>
        <v>2.7</v>
      </c>
    </row>
    <row r="162" spans="2:12" x14ac:dyDescent="0.25">
      <c r="B162">
        <v>900</v>
      </c>
      <c r="C162">
        <v>67</v>
      </c>
      <c r="D162">
        <v>95</v>
      </c>
      <c r="E162">
        <v>38.299999999999997</v>
      </c>
      <c r="F162">
        <v>3.46</v>
      </c>
      <c r="I162" s="48">
        <f t="shared" ref="I162:J162" si="10">I135</f>
        <v>57</v>
      </c>
      <c r="J162" s="48">
        <f t="shared" si="10"/>
        <v>85</v>
      </c>
      <c r="K162" s="44">
        <f t="shared" si="6"/>
        <v>38.740171000000004</v>
      </c>
      <c r="L162" s="44">
        <f t="shared" si="7"/>
        <v>2.66</v>
      </c>
    </row>
    <row r="163" spans="2:12" x14ac:dyDescent="0.25">
      <c r="B163">
        <v>900</v>
      </c>
      <c r="C163">
        <v>63</v>
      </c>
      <c r="D163">
        <v>95</v>
      </c>
      <c r="E163">
        <v>35.4</v>
      </c>
      <c r="F163">
        <v>3.37</v>
      </c>
      <c r="I163" s="48">
        <f t="shared" ref="I163:J163" si="11">I136</f>
        <v>72</v>
      </c>
      <c r="J163" s="48">
        <f t="shared" si="11"/>
        <v>95</v>
      </c>
      <c r="K163" s="44">
        <f t="shared" si="6"/>
        <v>45.940171000000007</v>
      </c>
      <c r="L163" s="44">
        <f t="shared" si="7"/>
        <v>3.1500000000000004</v>
      </c>
    </row>
    <row r="164" spans="2:12" x14ac:dyDescent="0.25">
      <c r="B164">
        <v>900</v>
      </c>
      <c r="C164">
        <v>62</v>
      </c>
      <c r="D164">
        <v>95</v>
      </c>
      <c r="E164">
        <v>34.6</v>
      </c>
      <c r="F164">
        <v>3.34</v>
      </c>
      <c r="I164" s="48">
        <f t="shared" ref="I164:J164" si="12">I137</f>
        <v>67</v>
      </c>
      <c r="J164" s="48">
        <f t="shared" si="12"/>
        <v>95</v>
      </c>
      <c r="K164" s="44">
        <f t="shared" si="6"/>
        <v>41.740171000000004</v>
      </c>
      <c r="L164" s="44">
        <f t="shared" si="7"/>
        <v>3.0300000000000002</v>
      </c>
    </row>
    <row r="165" spans="2:12" x14ac:dyDescent="0.25">
      <c r="B165">
        <v>900</v>
      </c>
      <c r="C165">
        <v>57</v>
      </c>
      <c r="D165">
        <v>95</v>
      </c>
      <c r="E165">
        <v>32.5</v>
      </c>
      <c r="F165">
        <v>3.28</v>
      </c>
      <c r="I165" s="48">
        <f t="shared" ref="I165:J165" si="13">I138</f>
        <v>63</v>
      </c>
      <c r="J165" s="48">
        <f t="shared" si="13"/>
        <v>95</v>
      </c>
      <c r="K165" s="44">
        <f t="shared" si="6"/>
        <v>38.740171000000004</v>
      </c>
      <c r="L165" s="44">
        <f t="shared" si="7"/>
        <v>2.9400000000000004</v>
      </c>
    </row>
    <row r="166" spans="2:12" x14ac:dyDescent="0.25">
      <c r="B166">
        <v>990</v>
      </c>
      <c r="C166">
        <v>72</v>
      </c>
      <c r="D166">
        <v>95</v>
      </c>
      <c r="E166">
        <v>43.2</v>
      </c>
      <c r="F166">
        <v>3.62</v>
      </c>
      <c r="I166" s="48">
        <f t="shared" ref="I166:J166" si="14">I139</f>
        <v>62</v>
      </c>
      <c r="J166" s="48">
        <f t="shared" si="14"/>
        <v>95</v>
      </c>
      <c r="K166" s="44">
        <f t="shared" si="6"/>
        <v>37.940171000000007</v>
      </c>
      <c r="L166" s="44">
        <f t="shared" si="7"/>
        <v>2.92</v>
      </c>
    </row>
    <row r="167" spans="2:12" x14ac:dyDescent="0.25">
      <c r="B167">
        <v>990</v>
      </c>
      <c r="C167">
        <v>67</v>
      </c>
      <c r="D167">
        <v>95</v>
      </c>
      <c r="E167">
        <v>39.200000000000003</v>
      </c>
      <c r="F167">
        <v>3.5</v>
      </c>
      <c r="I167" s="48">
        <f t="shared" ref="I167:J167" si="15">I140</f>
        <v>57</v>
      </c>
      <c r="J167" s="48">
        <f t="shared" si="15"/>
        <v>95</v>
      </c>
      <c r="K167" s="44">
        <f t="shared" si="6"/>
        <v>36.940171000000007</v>
      </c>
      <c r="L167" s="44">
        <f t="shared" si="7"/>
        <v>2.88</v>
      </c>
    </row>
    <row r="168" spans="2:12" x14ac:dyDescent="0.25">
      <c r="B168">
        <v>990</v>
      </c>
      <c r="C168">
        <v>63</v>
      </c>
      <c r="D168">
        <v>95</v>
      </c>
      <c r="E168">
        <v>36.200000000000003</v>
      </c>
      <c r="F168">
        <v>3.41</v>
      </c>
      <c r="I168" s="48">
        <f t="shared" ref="I168:J168" si="16">I141</f>
        <v>72</v>
      </c>
      <c r="J168" s="48">
        <f t="shared" si="16"/>
        <v>105</v>
      </c>
      <c r="K168" s="44">
        <f t="shared" si="6"/>
        <v>43.140170999999995</v>
      </c>
      <c r="L168" s="44">
        <f t="shared" si="7"/>
        <v>3.3899999999999997</v>
      </c>
    </row>
    <row r="169" spans="2:12" x14ac:dyDescent="0.25">
      <c r="B169">
        <v>990</v>
      </c>
      <c r="C169">
        <v>62</v>
      </c>
      <c r="D169">
        <v>95</v>
      </c>
      <c r="E169">
        <v>35.4</v>
      </c>
      <c r="F169">
        <v>3.38</v>
      </c>
      <c r="I169" s="48">
        <f t="shared" ref="I169:J169" si="17">I142</f>
        <v>67</v>
      </c>
      <c r="J169" s="48">
        <f t="shared" si="17"/>
        <v>105</v>
      </c>
      <c r="K169" s="44">
        <f t="shared" si="6"/>
        <v>39.240171000000004</v>
      </c>
      <c r="L169" s="44">
        <f t="shared" si="7"/>
        <v>3.25</v>
      </c>
    </row>
    <row r="170" spans="2:12" x14ac:dyDescent="0.25">
      <c r="B170">
        <v>990</v>
      </c>
      <c r="C170">
        <v>57</v>
      </c>
      <c r="D170">
        <v>95</v>
      </c>
      <c r="E170">
        <v>33.799999999999997</v>
      </c>
      <c r="F170">
        <v>3.33</v>
      </c>
      <c r="I170" s="48">
        <f t="shared" ref="I170:J170" si="18">I143</f>
        <v>63</v>
      </c>
      <c r="J170" s="48">
        <f t="shared" si="18"/>
        <v>105</v>
      </c>
      <c r="K170" s="44">
        <f t="shared" si="6"/>
        <v>36.240171000000004</v>
      </c>
      <c r="L170" s="44">
        <f t="shared" si="7"/>
        <v>3.1399999999999997</v>
      </c>
    </row>
    <row r="171" spans="2:12" x14ac:dyDescent="0.25">
      <c r="B171">
        <v>1100</v>
      </c>
      <c r="C171">
        <v>72</v>
      </c>
      <c r="D171">
        <v>95</v>
      </c>
      <c r="E171">
        <v>44.2</v>
      </c>
      <c r="F171">
        <v>3.66</v>
      </c>
      <c r="I171" s="48">
        <f t="shared" ref="I171:J171" si="19">I144</f>
        <v>62</v>
      </c>
      <c r="J171" s="48">
        <f t="shared" si="19"/>
        <v>105</v>
      </c>
      <c r="K171" s="44">
        <f t="shared" si="6"/>
        <v>35.640170999999995</v>
      </c>
      <c r="L171" s="44">
        <f t="shared" si="7"/>
        <v>3.12</v>
      </c>
    </row>
    <row r="172" spans="2:12" x14ac:dyDescent="0.25">
      <c r="B172">
        <v>1100</v>
      </c>
      <c r="C172">
        <v>67</v>
      </c>
      <c r="D172">
        <v>95</v>
      </c>
      <c r="E172">
        <v>40</v>
      </c>
      <c r="F172">
        <v>3.54</v>
      </c>
      <c r="I172" s="48">
        <f t="shared" ref="I172:J172" si="20">I145</f>
        <v>57</v>
      </c>
      <c r="J172" s="48">
        <f t="shared" si="20"/>
        <v>105</v>
      </c>
      <c r="K172" s="44">
        <f t="shared" si="6"/>
        <v>35.140170999999995</v>
      </c>
      <c r="L172" s="44">
        <f t="shared" si="7"/>
        <v>3.0999999999999996</v>
      </c>
    </row>
    <row r="173" spans="2:12" x14ac:dyDescent="0.25">
      <c r="B173">
        <v>1100</v>
      </c>
      <c r="C173">
        <v>63</v>
      </c>
      <c r="D173">
        <v>95</v>
      </c>
      <c r="E173">
        <v>37</v>
      </c>
      <c r="F173">
        <v>3.45</v>
      </c>
      <c r="I173" s="48">
        <f t="shared" ref="I173:J173" si="21">I146</f>
        <v>72</v>
      </c>
      <c r="J173" s="48">
        <f t="shared" si="21"/>
        <v>115</v>
      </c>
      <c r="K173" s="44">
        <f t="shared" si="6"/>
        <v>40.440171000000007</v>
      </c>
      <c r="L173" s="44">
        <f t="shared" si="7"/>
        <v>3.62</v>
      </c>
    </row>
    <row r="174" spans="2:12" x14ac:dyDescent="0.25">
      <c r="B174">
        <v>1100</v>
      </c>
      <c r="C174">
        <v>62</v>
      </c>
      <c r="D174">
        <v>95</v>
      </c>
      <c r="E174">
        <v>36.200000000000003</v>
      </c>
      <c r="F174">
        <v>3.43</v>
      </c>
      <c r="I174" s="48">
        <f t="shared" ref="I174:J174" si="22">I147</f>
        <v>67</v>
      </c>
      <c r="J174" s="48">
        <f t="shared" si="22"/>
        <v>115</v>
      </c>
      <c r="K174" s="44">
        <f t="shared" si="6"/>
        <v>36.640170999999995</v>
      </c>
      <c r="L174" s="44">
        <f t="shared" si="7"/>
        <v>3.46</v>
      </c>
    </row>
    <row r="175" spans="2:12" x14ac:dyDescent="0.25">
      <c r="B175">
        <v>1100</v>
      </c>
      <c r="C175">
        <v>57</v>
      </c>
      <c r="D175">
        <v>95</v>
      </c>
      <c r="E175">
        <v>35.200000000000003</v>
      </c>
      <c r="F175">
        <v>3.39</v>
      </c>
      <c r="I175" s="48">
        <f t="shared" ref="I175:J175" si="23">I148</f>
        <v>63</v>
      </c>
      <c r="J175" s="48">
        <f t="shared" si="23"/>
        <v>115</v>
      </c>
      <c r="K175" s="44">
        <f t="shared" si="6"/>
        <v>33.840170999999998</v>
      </c>
      <c r="L175" s="44">
        <f t="shared" si="7"/>
        <v>3.34</v>
      </c>
    </row>
    <row r="176" spans="2:12" x14ac:dyDescent="0.25">
      <c r="B176">
        <v>1225</v>
      </c>
      <c r="C176">
        <v>72</v>
      </c>
      <c r="D176">
        <v>95</v>
      </c>
      <c r="E176">
        <v>45</v>
      </c>
      <c r="F176">
        <v>3.7</v>
      </c>
      <c r="I176" s="48">
        <f t="shared" ref="I176:J176" si="24">I149</f>
        <v>62</v>
      </c>
      <c r="J176" s="48">
        <f t="shared" si="24"/>
        <v>115</v>
      </c>
      <c r="K176" s="44">
        <f t="shared" si="6"/>
        <v>33.340170999999998</v>
      </c>
      <c r="L176" s="44">
        <f t="shared" si="7"/>
        <v>3.3099999999999996</v>
      </c>
    </row>
    <row r="177" spans="2:12" x14ac:dyDescent="0.25">
      <c r="B177">
        <v>1225</v>
      </c>
      <c r="C177">
        <v>67</v>
      </c>
      <c r="D177">
        <v>95</v>
      </c>
      <c r="E177">
        <v>40.799999999999997</v>
      </c>
      <c r="F177">
        <v>3.58</v>
      </c>
      <c r="I177" s="48">
        <f t="shared" ref="I177:J177" si="25">I150</f>
        <v>57</v>
      </c>
      <c r="J177" s="48">
        <f t="shared" si="25"/>
        <v>115</v>
      </c>
      <c r="K177" s="44">
        <f t="shared" si="6"/>
        <v>33.240171000000004</v>
      </c>
      <c r="L177" s="44">
        <f t="shared" si="7"/>
        <v>3.3099999999999996</v>
      </c>
    </row>
    <row r="178" spans="2:12" x14ac:dyDescent="0.25">
      <c r="B178">
        <v>1225</v>
      </c>
      <c r="C178">
        <v>63</v>
      </c>
      <c r="D178">
        <v>95</v>
      </c>
      <c r="E178">
        <v>37.700000000000003</v>
      </c>
      <c r="F178">
        <v>3.49</v>
      </c>
      <c r="L178" s="46"/>
    </row>
    <row r="179" spans="2:12" x14ac:dyDescent="0.25">
      <c r="B179">
        <v>1225</v>
      </c>
      <c r="C179">
        <v>62</v>
      </c>
      <c r="D179">
        <v>95</v>
      </c>
      <c r="E179">
        <v>37</v>
      </c>
      <c r="F179">
        <v>3.47</v>
      </c>
      <c r="L179" s="46"/>
    </row>
    <row r="180" spans="2:12" x14ac:dyDescent="0.25">
      <c r="B180">
        <v>1225</v>
      </c>
      <c r="C180">
        <v>57</v>
      </c>
      <c r="D180">
        <v>95</v>
      </c>
      <c r="E180">
        <v>36.6</v>
      </c>
      <c r="F180">
        <v>3.46</v>
      </c>
    </row>
    <row r="181" spans="2:12" x14ac:dyDescent="0.25">
      <c r="B181">
        <v>800</v>
      </c>
      <c r="C181">
        <v>72</v>
      </c>
      <c r="D181">
        <v>105</v>
      </c>
      <c r="E181">
        <v>38.799999999999997</v>
      </c>
      <c r="F181">
        <v>3.76</v>
      </c>
    </row>
    <row r="182" spans="2:12" x14ac:dyDescent="0.25">
      <c r="B182">
        <v>800</v>
      </c>
      <c r="C182">
        <v>67</v>
      </c>
      <c r="D182">
        <v>105</v>
      </c>
      <c r="E182">
        <v>34.9</v>
      </c>
      <c r="F182">
        <v>3.62</v>
      </c>
    </row>
    <row r="183" spans="2:12" x14ac:dyDescent="0.25">
      <c r="B183">
        <v>800</v>
      </c>
      <c r="C183">
        <v>63</v>
      </c>
      <c r="D183">
        <v>105</v>
      </c>
      <c r="E183">
        <v>32.200000000000003</v>
      </c>
      <c r="F183">
        <v>3.52</v>
      </c>
    </row>
    <row r="184" spans="2:12" x14ac:dyDescent="0.25">
      <c r="B184">
        <v>800</v>
      </c>
      <c r="C184">
        <v>62</v>
      </c>
      <c r="D184">
        <v>105</v>
      </c>
      <c r="E184">
        <v>31.5</v>
      </c>
      <c r="F184">
        <v>3.49</v>
      </c>
    </row>
    <row r="185" spans="2:12" x14ac:dyDescent="0.25">
      <c r="B185">
        <v>800</v>
      </c>
      <c r="C185">
        <v>57</v>
      </c>
      <c r="D185">
        <v>105</v>
      </c>
      <c r="E185">
        <v>29.4</v>
      </c>
      <c r="F185">
        <v>3.4</v>
      </c>
    </row>
    <row r="186" spans="2:12" x14ac:dyDescent="0.25">
      <c r="B186">
        <v>900</v>
      </c>
      <c r="C186">
        <v>72</v>
      </c>
      <c r="D186">
        <v>105</v>
      </c>
      <c r="E186">
        <v>39.9</v>
      </c>
      <c r="F186">
        <v>3.81</v>
      </c>
    </row>
    <row r="187" spans="2:12" x14ac:dyDescent="0.25">
      <c r="B187">
        <v>900</v>
      </c>
      <c r="C187">
        <v>67</v>
      </c>
      <c r="D187">
        <v>105</v>
      </c>
      <c r="E187">
        <v>36</v>
      </c>
      <c r="F187">
        <v>3.68</v>
      </c>
    </row>
    <row r="188" spans="2:12" x14ac:dyDescent="0.25">
      <c r="B188">
        <v>900</v>
      </c>
      <c r="C188">
        <v>63</v>
      </c>
      <c r="D188">
        <v>105</v>
      </c>
      <c r="E188">
        <v>33.200000000000003</v>
      </c>
      <c r="F188">
        <v>3.57</v>
      </c>
    </row>
    <row r="189" spans="2:12" x14ac:dyDescent="0.25">
      <c r="B189">
        <v>900</v>
      </c>
      <c r="C189">
        <v>62</v>
      </c>
      <c r="D189">
        <v>105</v>
      </c>
      <c r="E189">
        <v>32.4</v>
      </c>
      <c r="F189">
        <v>3.54</v>
      </c>
    </row>
    <row r="190" spans="2:12" x14ac:dyDescent="0.25">
      <c r="B190">
        <v>900</v>
      </c>
      <c r="C190">
        <v>57</v>
      </c>
      <c r="D190">
        <v>105</v>
      </c>
      <c r="E190">
        <v>30.9</v>
      </c>
      <c r="F190">
        <v>3.48</v>
      </c>
    </row>
    <row r="191" spans="2:12" x14ac:dyDescent="0.25">
      <c r="B191">
        <v>990</v>
      </c>
      <c r="C191">
        <v>72</v>
      </c>
      <c r="D191">
        <v>105</v>
      </c>
      <c r="E191">
        <v>40.6</v>
      </c>
      <c r="F191">
        <v>3.86</v>
      </c>
    </row>
    <row r="192" spans="2:12" x14ac:dyDescent="0.25">
      <c r="B192">
        <v>990</v>
      </c>
      <c r="C192">
        <v>67</v>
      </c>
      <c r="D192">
        <v>105</v>
      </c>
      <c r="E192">
        <v>36.700000000000003</v>
      </c>
      <c r="F192">
        <v>3.72</v>
      </c>
    </row>
    <row r="193" spans="2:6" x14ac:dyDescent="0.25">
      <c r="B193">
        <v>990</v>
      </c>
      <c r="C193">
        <v>63</v>
      </c>
      <c r="D193">
        <v>105</v>
      </c>
      <c r="E193">
        <v>33.9</v>
      </c>
      <c r="F193">
        <v>3.61</v>
      </c>
    </row>
    <row r="194" spans="2:6" x14ac:dyDescent="0.25">
      <c r="B194">
        <v>990</v>
      </c>
      <c r="C194">
        <v>62</v>
      </c>
      <c r="D194">
        <v>105</v>
      </c>
      <c r="E194">
        <v>33.200000000000003</v>
      </c>
      <c r="F194">
        <v>3.58</v>
      </c>
    </row>
    <row r="195" spans="2:6" x14ac:dyDescent="0.25">
      <c r="B195">
        <v>990</v>
      </c>
      <c r="C195">
        <v>57</v>
      </c>
      <c r="D195">
        <v>105</v>
      </c>
      <c r="E195">
        <v>32.1</v>
      </c>
      <c r="F195">
        <v>3.54</v>
      </c>
    </row>
    <row r="196" spans="2:6" x14ac:dyDescent="0.25">
      <c r="B196">
        <v>1100</v>
      </c>
      <c r="C196">
        <v>72</v>
      </c>
      <c r="D196">
        <v>105</v>
      </c>
      <c r="E196">
        <v>41.4</v>
      </c>
      <c r="F196">
        <v>3.9</v>
      </c>
    </row>
    <row r="197" spans="2:6" x14ac:dyDescent="0.25">
      <c r="B197">
        <v>1100</v>
      </c>
      <c r="C197">
        <v>67</v>
      </c>
      <c r="D197">
        <v>105</v>
      </c>
      <c r="E197">
        <v>37.5</v>
      </c>
      <c r="F197">
        <v>3.76</v>
      </c>
    </row>
    <row r="198" spans="2:6" x14ac:dyDescent="0.25">
      <c r="B198">
        <v>1100</v>
      </c>
      <c r="C198">
        <v>63</v>
      </c>
      <c r="D198">
        <v>105</v>
      </c>
      <c r="E198">
        <v>34.5</v>
      </c>
      <c r="F198">
        <v>3.65</v>
      </c>
    </row>
    <row r="199" spans="2:6" x14ac:dyDescent="0.25">
      <c r="B199">
        <v>1100</v>
      </c>
      <c r="C199">
        <v>62</v>
      </c>
      <c r="D199">
        <v>105</v>
      </c>
      <c r="E199">
        <v>33.9</v>
      </c>
      <c r="F199">
        <v>3.63</v>
      </c>
    </row>
    <row r="200" spans="2:6" x14ac:dyDescent="0.25">
      <c r="B200">
        <v>1100</v>
      </c>
      <c r="C200">
        <v>57</v>
      </c>
      <c r="D200">
        <v>105</v>
      </c>
      <c r="E200">
        <v>33.4</v>
      </c>
      <c r="F200">
        <v>3.61</v>
      </c>
    </row>
    <row r="201" spans="2:6" x14ac:dyDescent="0.25">
      <c r="B201">
        <v>1225</v>
      </c>
      <c r="C201">
        <v>72</v>
      </c>
      <c r="D201">
        <v>105</v>
      </c>
      <c r="E201">
        <v>42.2</v>
      </c>
      <c r="F201">
        <v>3.94</v>
      </c>
    </row>
    <row r="202" spans="2:6" x14ac:dyDescent="0.25">
      <c r="B202">
        <v>1225</v>
      </c>
      <c r="C202">
        <v>67</v>
      </c>
      <c r="D202">
        <v>105</v>
      </c>
      <c r="E202">
        <v>38.1</v>
      </c>
      <c r="F202">
        <v>3.81</v>
      </c>
    </row>
    <row r="203" spans="2:6" x14ac:dyDescent="0.25">
      <c r="B203">
        <v>1225</v>
      </c>
      <c r="C203">
        <v>63</v>
      </c>
      <c r="D203">
        <v>105</v>
      </c>
      <c r="E203">
        <v>35.200000000000003</v>
      </c>
      <c r="F203">
        <v>3.7</v>
      </c>
    </row>
    <row r="204" spans="2:6" x14ac:dyDescent="0.25">
      <c r="B204">
        <v>1225</v>
      </c>
      <c r="C204">
        <v>62</v>
      </c>
      <c r="D204">
        <v>105</v>
      </c>
      <c r="E204">
        <v>34.700000000000003</v>
      </c>
      <c r="F204">
        <v>3.68</v>
      </c>
    </row>
    <row r="205" spans="2:6" x14ac:dyDescent="0.25">
      <c r="B205">
        <v>1225</v>
      </c>
      <c r="C205">
        <v>57</v>
      </c>
      <c r="D205">
        <v>105</v>
      </c>
      <c r="E205">
        <v>34.700000000000003</v>
      </c>
      <c r="F205">
        <v>3.68</v>
      </c>
    </row>
    <row r="206" spans="2:6" x14ac:dyDescent="0.25">
      <c r="B206">
        <v>800</v>
      </c>
      <c r="C206">
        <v>72</v>
      </c>
      <c r="D206">
        <v>115</v>
      </c>
      <c r="E206">
        <v>36.299999999999997</v>
      </c>
      <c r="F206">
        <v>3.99</v>
      </c>
    </row>
    <row r="207" spans="2:6" x14ac:dyDescent="0.25">
      <c r="B207">
        <v>800</v>
      </c>
      <c r="C207">
        <v>67</v>
      </c>
      <c r="D207">
        <v>115</v>
      </c>
      <c r="E207">
        <v>32.700000000000003</v>
      </c>
      <c r="F207">
        <v>3.83</v>
      </c>
    </row>
    <row r="208" spans="2:6" x14ac:dyDescent="0.25">
      <c r="B208">
        <v>800</v>
      </c>
      <c r="C208">
        <v>63</v>
      </c>
      <c r="D208">
        <v>115</v>
      </c>
      <c r="E208">
        <v>30.1</v>
      </c>
      <c r="F208">
        <v>3.7</v>
      </c>
    </row>
    <row r="209" spans="2:7" x14ac:dyDescent="0.25">
      <c r="B209">
        <v>800</v>
      </c>
      <c r="C209">
        <v>62</v>
      </c>
      <c r="D209">
        <v>115</v>
      </c>
      <c r="E209">
        <v>29.4</v>
      </c>
      <c r="F209">
        <v>3.67</v>
      </c>
    </row>
    <row r="210" spans="2:7" x14ac:dyDescent="0.25">
      <c r="B210">
        <v>800</v>
      </c>
      <c r="C210">
        <v>57</v>
      </c>
      <c r="D210">
        <v>115</v>
      </c>
      <c r="E210">
        <v>27.8</v>
      </c>
      <c r="F210">
        <v>3.6</v>
      </c>
    </row>
    <row r="211" spans="2:7" x14ac:dyDescent="0.25">
      <c r="B211">
        <v>900</v>
      </c>
      <c r="C211">
        <v>72</v>
      </c>
      <c r="D211">
        <v>115</v>
      </c>
      <c r="E211">
        <v>37.299999999999997</v>
      </c>
      <c r="F211">
        <v>4.04</v>
      </c>
    </row>
    <row r="212" spans="2:7" x14ac:dyDescent="0.25">
      <c r="B212">
        <v>900</v>
      </c>
      <c r="C212">
        <v>67</v>
      </c>
      <c r="D212">
        <v>115</v>
      </c>
      <c r="E212">
        <v>33.6</v>
      </c>
      <c r="F212">
        <v>3.88</v>
      </c>
    </row>
    <row r="213" spans="2:7" x14ac:dyDescent="0.25">
      <c r="B213">
        <v>900</v>
      </c>
      <c r="C213">
        <v>63</v>
      </c>
      <c r="D213">
        <v>115</v>
      </c>
      <c r="E213">
        <v>30.9</v>
      </c>
      <c r="F213">
        <v>3.76</v>
      </c>
    </row>
    <row r="214" spans="2:7" x14ac:dyDescent="0.25">
      <c r="B214">
        <v>900</v>
      </c>
      <c r="C214">
        <v>62</v>
      </c>
      <c r="D214">
        <v>115</v>
      </c>
      <c r="E214">
        <v>30.2</v>
      </c>
      <c r="F214">
        <v>3.73</v>
      </c>
    </row>
    <row r="215" spans="2:7" x14ac:dyDescent="0.25">
      <c r="B215">
        <v>900</v>
      </c>
      <c r="C215">
        <v>57</v>
      </c>
      <c r="D215">
        <v>115</v>
      </c>
      <c r="E215">
        <v>29.2</v>
      </c>
      <c r="F215">
        <v>3.68</v>
      </c>
    </row>
    <row r="216" spans="2:7" x14ac:dyDescent="0.25">
      <c r="B216">
        <v>990</v>
      </c>
      <c r="C216">
        <v>72</v>
      </c>
      <c r="D216">
        <v>115</v>
      </c>
      <c r="E216">
        <v>37.9</v>
      </c>
      <c r="F216">
        <v>4.08</v>
      </c>
    </row>
    <row r="217" spans="2:7" x14ac:dyDescent="0.25">
      <c r="B217">
        <v>990</v>
      </c>
      <c r="C217">
        <v>67</v>
      </c>
      <c r="D217">
        <v>115</v>
      </c>
      <c r="E217">
        <v>34.200000000000003</v>
      </c>
      <c r="F217">
        <v>3.92</v>
      </c>
    </row>
    <row r="218" spans="2:7" x14ac:dyDescent="0.25">
      <c r="B218">
        <v>990</v>
      </c>
      <c r="C218">
        <v>63</v>
      </c>
      <c r="D218">
        <v>115</v>
      </c>
      <c r="E218">
        <v>31.5</v>
      </c>
      <c r="F218">
        <v>3.8</v>
      </c>
    </row>
    <row r="221" spans="2:7" ht="18.75" x14ac:dyDescent="0.3">
      <c r="B221" s="35" t="s">
        <v>31</v>
      </c>
      <c r="C221" s="35"/>
    </row>
    <row r="222" spans="2:7" x14ac:dyDescent="0.25">
      <c r="B222" s="36" t="s">
        <v>32</v>
      </c>
      <c r="C222" s="38"/>
      <c r="D222" s="38"/>
    </row>
    <row r="223" spans="2:7" x14ac:dyDescent="0.25">
      <c r="B223" s="36" t="s">
        <v>33</v>
      </c>
      <c r="C223" s="38"/>
      <c r="D223" s="38"/>
      <c r="E223" s="38"/>
      <c r="F223" s="38"/>
      <c r="G223" s="38"/>
    </row>
    <row r="239" spans="15:19" x14ac:dyDescent="0.25">
      <c r="O239" s="36" t="s">
        <v>34</v>
      </c>
      <c r="P239" s="38"/>
      <c r="Q239" s="38"/>
      <c r="R239" s="42">
        <f>250</f>
        <v>250</v>
      </c>
      <c r="S239" t="s">
        <v>20</v>
      </c>
    </row>
    <row r="241" spans="2:21" x14ac:dyDescent="0.25">
      <c r="B241" s="36" t="s">
        <v>23</v>
      </c>
      <c r="C241" s="36"/>
      <c r="D241" s="36"/>
      <c r="E241" s="36"/>
      <c r="H241" s="36" t="s">
        <v>35</v>
      </c>
      <c r="I241" s="36"/>
      <c r="J241" s="36"/>
      <c r="K241" s="36"/>
      <c r="L241" s="36"/>
      <c r="M241" s="36"/>
      <c r="O241" s="36" t="s">
        <v>22</v>
      </c>
      <c r="P241" s="36"/>
      <c r="Q241" s="36"/>
      <c r="R241" s="36"/>
      <c r="S241" s="36"/>
      <c r="T241" s="36"/>
      <c r="U241" s="36"/>
    </row>
    <row r="242" spans="2:21" x14ac:dyDescent="0.25">
      <c r="H242" s="36" t="s">
        <v>36</v>
      </c>
      <c r="I242" s="36"/>
      <c r="J242" s="36"/>
      <c r="K242" s="36"/>
      <c r="L242" s="36"/>
      <c r="M242" s="36"/>
      <c r="O242" s="36" t="s">
        <v>25</v>
      </c>
      <c r="P242" s="36"/>
      <c r="Q242" s="36"/>
      <c r="R242" s="36"/>
      <c r="S242" s="36"/>
      <c r="T242" s="36"/>
    </row>
    <row r="243" spans="2:21" ht="15.75" thickBot="1" x14ac:dyDescent="0.3">
      <c r="B243" s="47" t="s">
        <v>48</v>
      </c>
      <c r="C243" s="47" t="s">
        <v>42</v>
      </c>
      <c r="D243" s="47" t="s">
        <v>27</v>
      </c>
      <c r="E243" s="47" t="s">
        <v>46</v>
      </c>
      <c r="F243" s="47" t="s">
        <v>52</v>
      </c>
      <c r="H243" s="47" t="s">
        <v>48</v>
      </c>
      <c r="I243" s="47" t="s">
        <v>42</v>
      </c>
      <c r="J243" s="47" t="s">
        <v>46</v>
      </c>
      <c r="K243" s="47" t="s">
        <v>53</v>
      </c>
      <c r="L243" s="47" t="s">
        <v>52</v>
      </c>
      <c r="O243" s="47" t="s">
        <v>48</v>
      </c>
      <c r="P243" s="47" t="s">
        <v>42</v>
      </c>
      <c r="Q243" s="47" t="s">
        <v>27</v>
      </c>
      <c r="R243" s="47" t="s">
        <v>50</v>
      </c>
      <c r="S243" s="47" t="s">
        <v>53</v>
      </c>
      <c r="T243" s="47" t="s">
        <v>52</v>
      </c>
    </row>
    <row r="244" spans="2:21" ht="15.75" thickTop="1" x14ac:dyDescent="0.25">
      <c r="B244" s="41">
        <v>63</v>
      </c>
      <c r="C244">
        <f>85</f>
        <v>85</v>
      </c>
      <c r="D244">
        <v>960</v>
      </c>
      <c r="E244">
        <v>35.200000000000003</v>
      </c>
      <c r="F244">
        <v>2.2599999999999998</v>
      </c>
      <c r="H244" s="41">
        <v>63</v>
      </c>
      <c r="I244" s="41">
        <v>85</v>
      </c>
      <c r="J244" s="42">
        <v>36.700000000000003</v>
      </c>
      <c r="K244" s="41">
        <v>2.27</v>
      </c>
      <c r="L244" s="48">
        <f>$K244+$R$239/1000</f>
        <v>2.52</v>
      </c>
      <c r="O244" s="41">
        <v>67</v>
      </c>
      <c r="P244" s="41">
        <v>95</v>
      </c>
      <c r="Q244" s="41">
        <v>960</v>
      </c>
      <c r="R244" s="43">
        <v>35.799999999999997</v>
      </c>
      <c r="S244" s="43">
        <v>2.58</v>
      </c>
      <c r="T244" s="48">
        <f>$S244+$R$239/1000</f>
        <v>2.83</v>
      </c>
    </row>
    <row r="245" spans="2:21" x14ac:dyDescent="0.25">
      <c r="B245" s="41">
        <v>63</v>
      </c>
      <c r="C245">
        <f>85</f>
        <v>85</v>
      </c>
      <c r="D245">
        <v>1200</v>
      </c>
      <c r="E245">
        <v>36.700000000000003</v>
      </c>
      <c r="F245">
        <v>2.27</v>
      </c>
      <c r="H245" s="41">
        <v>67</v>
      </c>
      <c r="I245" s="41">
        <v>85</v>
      </c>
      <c r="J245" s="42">
        <v>39</v>
      </c>
      <c r="K245" s="41">
        <v>2.2799999999999998</v>
      </c>
      <c r="L245" s="48">
        <f t="shared" ref="L245:L255" si="26">$K245+$R$239/1000</f>
        <v>2.5299999999999998</v>
      </c>
      <c r="O245" s="41">
        <v>67</v>
      </c>
      <c r="P245" s="41">
        <v>95</v>
      </c>
      <c r="Q245" s="41">
        <v>1200</v>
      </c>
      <c r="R245" s="43">
        <v>37.1</v>
      </c>
      <c r="S245" s="43">
        <v>2.59</v>
      </c>
      <c r="T245" s="48">
        <f t="shared" ref="T245:T246" si="27">$S245+$R$239/1000</f>
        <v>2.84</v>
      </c>
    </row>
    <row r="246" spans="2:21" x14ac:dyDescent="0.25">
      <c r="B246" s="41">
        <v>63</v>
      </c>
      <c r="C246">
        <f>85</f>
        <v>85</v>
      </c>
      <c r="D246">
        <v>1440</v>
      </c>
      <c r="E246">
        <v>37.9</v>
      </c>
      <c r="F246">
        <v>2.2799999999999998</v>
      </c>
      <c r="H246" s="41">
        <v>71</v>
      </c>
      <c r="I246" s="41">
        <v>85</v>
      </c>
      <c r="J246" s="42">
        <v>41.5</v>
      </c>
      <c r="K246" s="41">
        <v>2.31</v>
      </c>
      <c r="L246" s="48">
        <f t="shared" si="26"/>
        <v>2.56</v>
      </c>
      <c r="O246" s="41">
        <v>67</v>
      </c>
      <c r="P246" s="41">
        <v>95</v>
      </c>
      <c r="Q246" s="41">
        <v>1440</v>
      </c>
      <c r="R246" s="43">
        <v>37.9</v>
      </c>
      <c r="S246" s="43">
        <v>2.6</v>
      </c>
      <c r="T246" s="48">
        <f t="shared" si="27"/>
        <v>2.85</v>
      </c>
    </row>
    <row r="247" spans="2:21" x14ac:dyDescent="0.25">
      <c r="B247" s="41">
        <v>67</v>
      </c>
      <c r="C247">
        <f>85</f>
        <v>85</v>
      </c>
      <c r="D247">
        <v>960</v>
      </c>
      <c r="E247">
        <v>37.6</v>
      </c>
      <c r="F247">
        <v>2.2799999999999998</v>
      </c>
      <c r="H247" s="41">
        <v>63</v>
      </c>
      <c r="I247" s="41">
        <v>95</v>
      </c>
      <c r="J247" s="42">
        <v>34.9</v>
      </c>
      <c r="K247" s="41">
        <v>2.58</v>
      </c>
      <c r="L247" s="48">
        <f t="shared" si="26"/>
        <v>2.83</v>
      </c>
      <c r="S247" s="50"/>
    </row>
    <row r="248" spans="2:21" x14ac:dyDescent="0.25">
      <c r="B248" s="41">
        <v>67</v>
      </c>
      <c r="C248">
        <f>85</f>
        <v>85</v>
      </c>
      <c r="D248">
        <v>1200</v>
      </c>
      <c r="E248">
        <v>39</v>
      </c>
      <c r="F248">
        <v>2.2799999999999998</v>
      </c>
      <c r="H248" s="41">
        <v>67</v>
      </c>
      <c r="I248" s="41">
        <v>95</v>
      </c>
      <c r="J248" s="42">
        <v>37.1</v>
      </c>
      <c r="K248" s="41">
        <v>2.59</v>
      </c>
      <c r="L248" s="48">
        <f t="shared" si="26"/>
        <v>2.84</v>
      </c>
      <c r="S248" s="50"/>
    </row>
    <row r="249" spans="2:21" x14ac:dyDescent="0.25">
      <c r="B249" s="41">
        <v>67</v>
      </c>
      <c r="C249">
        <f>85</f>
        <v>85</v>
      </c>
      <c r="D249">
        <v>1440</v>
      </c>
      <c r="E249">
        <v>39.9</v>
      </c>
      <c r="F249">
        <v>2.29</v>
      </c>
      <c r="H249" s="41">
        <v>71</v>
      </c>
      <c r="I249" s="41">
        <v>95</v>
      </c>
      <c r="J249" s="42">
        <v>39.5</v>
      </c>
      <c r="K249" s="41">
        <v>2.62</v>
      </c>
      <c r="L249" s="48">
        <f t="shared" si="26"/>
        <v>2.87</v>
      </c>
      <c r="Q249" s="96" t="s">
        <v>28</v>
      </c>
      <c r="R249" s="96"/>
      <c r="S249" s="96"/>
    </row>
    <row r="250" spans="2:21" x14ac:dyDescent="0.25">
      <c r="B250" s="41">
        <v>71</v>
      </c>
      <c r="C250">
        <f>85</f>
        <v>85</v>
      </c>
      <c r="D250">
        <v>960</v>
      </c>
      <c r="E250">
        <v>40.200000000000003</v>
      </c>
      <c r="F250">
        <v>2.2999999999999998</v>
      </c>
      <c r="H250" s="41">
        <v>63</v>
      </c>
      <c r="I250" s="41">
        <v>105</v>
      </c>
      <c r="J250" s="42">
        <v>33.1</v>
      </c>
      <c r="K250" s="41">
        <v>2.93</v>
      </c>
      <c r="L250" s="48">
        <f t="shared" si="26"/>
        <v>3.18</v>
      </c>
      <c r="Q250" s="94" t="s">
        <v>29</v>
      </c>
      <c r="R250" s="94"/>
      <c r="S250" s="94"/>
    </row>
    <row r="251" spans="2:21" x14ac:dyDescent="0.25">
      <c r="B251" s="41">
        <v>71</v>
      </c>
      <c r="C251">
        <f>85</f>
        <v>85</v>
      </c>
      <c r="D251">
        <v>1200</v>
      </c>
      <c r="E251">
        <v>41.5</v>
      </c>
      <c r="F251">
        <v>2.31</v>
      </c>
      <c r="H251" s="41">
        <v>67</v>
      </c>
      <c r="I251" s="41">
        <v>105</v>
      </c>
      <c r="J251" s="42">
        <v>35</v>
      </c>
      <c r="K251" s="41">
        <v>2.94</v>
      </c>
      <c r="L251" s="48">
        <f t="shared" si="26"/>
        <v>3.19</v>
      </c>
      <c r="Q251" s="95"/>
      <c r="R251" s="95"/>
      <c r="S251" s="95"/>
    </row>
    <row r="252" spans="2:21" ht="15.75" thickBot="1" x14ac:dyDescent="0.3">
      <c r="B252" s="41">
        <v>71</v>
      </c>
      <c r="C252">
        <f>85</f>
        <v>85</v>
      </c>
      <c r="D252">
        <v>1440</v>
      </c>
      <c r="E252">
        <v>42.4</v>
      </c>
      <c r="F252">
        <v>2.31</v>
      </c>
      <c r="H252" s="41">
        <v>71</v>
      </c>
      <c r="I252" s="41">
        <v>105</v>
      </c>
      <c r="J252" s="42">
        <v>37.4</v>
      </c>
      <c r="K252" s="41">
        <v>2.97</v>
      </c>
      <c r="L252" s="48">
        <f t="shared" si="26"/>
        <v>3.22</v>
      </c>
      <c r="Q252" s="53" t="s">
        <v>54</v>
      </c>
      <c r="R252" s="53" t="s">
        <v>49</v>
      </c>
      <c r="S252" s="53" t="s">
        <v>52</v>
      </c>
    </row>
    <row r="253" spans="2:21" ht="15.75" thickTop="1" x14ac:dyDescent="0.25">
      <c r="B253" s="41">
        <v>63</v>
      </c>
      <c r="C253">
        <v>95</v>
      </c>
      <c r="D253">
        <v>960</v>
      </c>
      <c r="E253">
        <v>33.6</v>
      </c>
      <c r="F253">
        <v>2.57</v>
      </c>
      <c r="H253" s="41">
        <v>63</v>
      </c>
      <c r="I253" s="41">
        <v>115</v>
      </c>
      <c r="J253" s="42">
        <v>31.2</v>
      </c>
      <c r="K253" s="41">
        <v>3.34</v>
      </c>
      <c r="L253" s="48">
        <f t="shared" si="26"/>
        <v>3.59</v>
      </c>
      <c r="Q253" s="48">
        <f t="shared" ref="Q253:R255" si="28">Q244</f>
        <v>960</v>
      </c>
      <c r="R253" s="48">
        <f t="shared" si="28"/>
        <v>35.799999999999997</v>
      </c>
      <c r="S253" s="48">
        <f>T244</f>
        <v>2.83</v>
      </c>
    </row>
    <row r="254" spans="2:21" x14ac:dyDescent="0.25">
      <c r="B254" s="41">
        <v>63</v>
      </c>
      <c r="C254">
        <v>95</v>
      </c>
      <c r="D254">
        <v>1200</v>
      </c>
      <c r="E254">
        <v>34.9</v>
      </c>
      <c r="F254">
        <v>2.58</v>
      </c>
      <c r="H254" s="41">
        <v>67</v>
      </c>
      <c r="I254" s="41">
        <v>115</v>
      </c>
      <c r="J254" s="42">
        <v>32.799999999999997</v>
      </c>
      <c r="K254" s="41">
        <v>3.35</v>
      </c>
      <c r="L254" s="48">
        <f t="shared" si="26"/>
        <v>3.6</v>
      </c>
      <c r="Q254" s="48">
        <f t="shared" si="28"/>
        <v>1200</v>
      </c>
      <c r="R254" s="48">
        <f t="shared" si="28"/>
        <v>37.1</v>
      </c>
      <c r="S254" s="48">
        <f>T245</f>
        <v>2.84</v>
      </c>
    </row>
    <row r="255" spans="2:21" x14ac:dyDescent="0.25">
      <c r="B255" s="41">
        <v>63</v>
      </c>
      <c r="C255">
        <v>95</v>
      </c>
      <c r="D255">
        <v>1440</v>
      </c>
      <c r="E255">
        <v>36.299999999999997</v>
      </c>
      <c r="F255">
        <v>2.59</v>
      </c>
      <c r="H255" s="41">
        <v>71</v>
      </c>
      <c r="I255" s="41">
        <v>115</v>
      </c>
      <c r="J255" s="42">
        <v>35</v>
      </c>
      <c r="K255" s="41">
        <v>3.37</v>
      </c>
      <c r="L255" s="48">
        <f t="shared" si="26"/>
        <v>3.62</v>
      </c>
      <c r="Q255" s="48">
        <f t="shared" si="28"/>
        <v>1440</v>
      </c>
      <c r="R255" s="48">
        <f t="shared" si="28"/>
        <v>37.9</v>
      </c>
      <c r="S255" s="48">
        <f>T246</f>
        <v>2.85</v>
      </c>
    </row>
    <row r="256" spans="2:21" x14ac:dyDescent="0.25">
      <c r="B256" s="41">
        <v>67</v>
      </c>
      <c r="C256">
        <v>95</v>
      </c>
      <c r="D256">
        <v>960</v>
      </c>
      <c r="E256">
        <v>35.799999999999997</v>
      </c>
      <c r="F256">
        <v>2.58</v>
      </c>
    </row>
    <row r="257" spans="2:12" x14ac:dyDescent="0.25">
      <c r="B257" s="41">
        <v>67</v>
      </c>
      <c r="C257">
        <v>95</v>
      </c>
      <c r="D257">
        <v>1200</v>
      </c>
      <c r="E257">
        <v>37.1</v>
      </c>
      <c r="F257">
        <v>2.59</v>
      </c>
    </row>
    <row r="258" spans="2:12" x14ac:dyDescent="0.25">
      <c r="B258" s="41">
        <v>67</v>
      </c>
      <c r="C258">
        <v>95</v>
      </c>
      <c r="D258">
        <v>1440</v>
      </c>
      <c r="E258">
        <v>37.9</v>
      </c>
      <c r="F258">
        <v>2.6</v>
      </c>
      <c r="I258" s="96" t="s">
        <v>28</v>
      </c>
      <c r="J258" s="96"/>
      <c r="K258" s="96"/>
      <c r="L258" s="96"/>
    </row>
    <row r="259" spans="2:12" x14ac:dyDescent="0.25">
      <c r="B259" s="41">
        <v>71</v>
      </c>
      <c r="C259">
        <v>95</v>
      </c>
      <c r="D259">
        <v>960</v>
      </c>
      <c r="E259">
        <v>38.299999999999997</v>
      </c>
      <c r="F259">
        <v>2.61</v>
      </c>
      <c r="I259" s="94" t="s">
        <v>30</v>
      </c>
      <c r="J259" s="94"/>
      <c r="K259" s="94"/>
      <c r="L259" s="94"/>
    </row>
    <row r="260" spans="2:12" x14ac:dyDescent="0.25">
      <c r="B260" s="41">
        <v>71</v>
      </c>
      <c r="C260">
        <v>95</v>
      </c>
      <c r="D260">
        <v>1200</v>
      </c>
      <c r="E260">
        <v>39.5</v>
      </c>
      <c r="F260">
        <v>2.62</v>
      </c>
      <c r="I260" s="95"/>
      <c r="J260" s="95"/>
      <c r="K260" s="95"/>
      <c r="L260" s="95"/>
    </row>
    <row r="261" spans="2:12" ht="15.75" thickBot="1" x14ac:dyDescent="0.3">
      <c r="B261" s="41">
        <v>71</v>
      </c>
      <c r="C261">
        <v>95</v>
      </c>
      <c r="D261">
        <v>1440</v>
      </c>
      <c r="E261">
        <v>40.299999999999997</v>
      </c>
      <c r="F261">
        <v>2.62</v>
      </c>
      <c r="I261" s="53" t="s">
        <v>48</v>
      </c>
      <c r="J261" s="53" t="s">
        <v>42</v>
      </c>
      <c r="K261" s="53" t="s">
        <v>50</v>
      </c>
      <c r="L261" s="53" t="s">
        <v>52</v>
      </c>
    </row>
    <row r="262" spans="2:12" ht="15.75" thickTop="1" x14ac:dyDescent="0.25">
      <c r="B262" s="41">
        <v>63</v>
      </c>
      <c r="C262">
        <f>105</f>
        <v>105</v>
      </c>
      <c r="D262">
        <v>960</v>
      </c>
      <c r="E262">
        <v>31.7</v>
      </c>
      <c r="F262">
        <v>2.92</v>
      </c>
      <c r="I262" s="48">
        <f t="shared" ref="I262:K273" si="29">H244</f>
        <v>63</v>
      </c>
      <c r="J262" s="48">
        <f t="shared" si="29"/>
        <v>85</v>
      </c>
      <c r="K262" s="64">
        <f>J244</f>
        <v>36.700000000000003</v>
      </c>
      <c r="L262" s="48">
        <f>L244</f>
        <v>2.52</v>
      </c>
    </row>
    <row r="263" spans="2:12" x14ac:dyDescent="0.25">
      <c r="B263" s="41">
        <v>63</v>
      </c>
      <c r="C263">
        <f>105</f>
        <v>105</v>
      </c>
      <c r="D263">
        <v>1200</v>
      </c>
      <c r="E263">
        <v>33.1</v>
      </c>
      <c r="F263">
        <v>2.93</v>
      </c>
      <c r="I263" s="48">
        <f t="shared" si="29"/>
        <v>67</v>
      </c>
      <c r="J263" s="48">
        <f t="shared" si="29"/>
        <v>85</v>
      </c>
      <c r="K263" s="64">
        <f t="shared" si="29"/>
        <v>39</v>
      </c>
      <c r="L263" s="48">
        <f t="shared" ref="L263:L273" si="30">L245</f>
        <v>2.5299999999999998</v>
      </c>
    </row>
    <row r="264" spans="2:12" x14ac:dyDescent="0.25">
      <c r="B264" s="41">
        <v>63</v>
      </c>
      <c r="C264">
        <f>105</f>
        <v>105</v>
      </c>
      <c r="D264">
        <v>1440</v>
      </c>
      <c r="E264">
        <v>34.6</v>
      </c>
      <c r="F264">
        <v>2.94</v>
      </c>
      <c r="I264" s="48">
        <f t="shared" si="29"/>
        <v>71</v>
      </c>
      <c r="J264" s="48">
        <f t="shared" si="29"/>
        <v>85</v>
      </c>
      <c r="K264" s="64">
        <f t="shared" si="29"/>
        <v>41.5</v>
      </c>
      <c r="L264" s="48">
        <f t="shared" si="30"/>
        <v>2.56</v>
      </c>
    </row>
    <row r="265" spans="2:12" x14ac:dyDescent="0.25">
      <c r="B265" s="41">
        <v>67</v>
      </c>
      <c r="C265">
        <f>105</f>
        <v>105</v>
      </c>
      <c r="D265">
        <v>960</v>
      </c>
      <c r="E265">
        <v>33.9</v>
      </c>
      <c r="F265">
        <v>2.93</v>
      </c>
      <c r="I265" s="48">
        <f t="shared" si="29"/>
        <v>63</v>
      </c>
      <c r="J265" s="48">
        <f t="shared" si="29"/>
        <v>95</v>
      </c>
      <c r="K265" s="64">
        <f t="shared" si="29"/>
        <v>34.9</v>
      </c>
      <c r="L265" s="48">
        <f t="shared" si="30"/>
        <v>2.83</v>
      </c>
    </row>
    <row r="266" spans="2:12" x14ac:dyDescent="0.25">
      <c r="B266" s="41">
        <v>67</v>
      </c>
      <c r="C266">
        <f>105</f>
        <v>105</v>
      </c>
      <c r="D266">
        <v>1200</v>
      </c>
      <c r="E266">
        <v>35</v>
      </c>
      <c r="F266">
        <v>2.94</v>
      </c>
      <c r="I266" s="48">
        <f t="shared" si="29"/>
        <v>67</v>
      </c>
      <c r="J266" s="48">
        <f t="shared" si="29"/>
        <v>95</v>
      </c>
      <c r="K266" s="64">
        <f t="shared" si="29"/>
        <v>37.1</v>
      </c>
      <c r="L266" s="48">
        <f t="shared" si="30"/>
        <v>2.84</v>
      </c>
    </row>
    <row r="267" spans="2:12" x14ac:dyDescent="0.25">
      <c r="B267" s="41">
        <v>67</v>
      </c>
      <c r="C267">
        <f>105</f>
        <v>105</v>
      </c>
      <c r="D267">
        <v>1440</v>
      </c>
      <c r="E267">
        <v>35.799999999999997</v>
      </c>
      <c r="F267">
        <v>2.95</v>
      </c>
      <c r="I267" s="48">
        <f t="shared" si="29"/>
        <v>71</v>
      </c>
      <c r="J267" s="48">
        <f t="shared" si="29"/>
        <v>95</v>
      </c>
      <c r="K267" s="64">
        <f t="shared" si="29"/>
        <v>39.5</v>
      </c>
      <c r="L267" s="48">
        <f t="shared" si="30"/>
        <v>2.87</v>
      </c>
    </row>
    <row r="268" spans="2:12" x14ac:dyDescent="0.25">
      <c r="B268" s="41">
        <v>71</v>
      </c>
      <c r="C268">
        <f>105</f>
        <v>105</v>
      </c>
      <c r="D268">
        <v>960</v>
      </c>
      <c r="E268">
        <v>36.299999999999997</v>
      </c>
      <c r="F268">
        <v>2.96</v>
      </c>
      <c r="I268" s="48">
        <f t="shared" si="29"/>
        <v>63</v>
      </c>
      <c r="J268" s="48">
        <f t="shared" si="29"/>
        <v>105</v>
      </c>
      <c r="K268" s="64">
        <f t="shared" si="29"/>
        <v>33.1</v>
      </c>
      <c r="L268" s="48">
        <f t="shared" si="30"/>
        <v>3.18</v>
      </c>
    </row>
    <row r="269" spans="2:12" x14ac:dyDescent="0.25">
      <c r="B269" s="41">
        <v>71</v>
      </c>
      <c r="C269">
        <f>105</f>
        <v>105</v>
      </c>
      <c r="D269">
        <v>1200</v>
      </c>
      <c r="E269">
        <v>37.4</v>
      </c>
      <c r="F269">
        <v>2.97</v>
      </c>
      <c r="I269" s="48">
        <f t="shared" si="29"/>
        <v>67</v>
      </c>
      <c r="J269" s="48">
        <f t="shared" si="29"/>
        <v>105</v>
      </c>
      <c r="K269" s="64">
        <f t="shared" si="29"/>
        <v>35</v>
      </c>
      <c r="L269" s="48">
        <f t="shared" si="30"/>
        <v>3.19</v>
      </c>
    </row>
    <row r="270" spans="2:12" x14ac:dyDescent="0.25">
      <c r="B270" s="41">
        <v>71</v>
      </c>
      <c r="C270">
        <f>105</f>
        <v>105</v>
      </c>
      <c r="D270">
        <v>1440</v>
      </c>
      <c r="E270">
        <v>38.1</v>
      </c>
      <c r="F270">
        <v>2.98</v>
      </c>
      <c r="I270" s="48">
        <f t="shared" si="29"/>
        <v>71</v>
      </c>
      <c r="J270" s="48">
        <f t="shared" si="29"/>
        <v>105</v>
      </c>
      <c r="K270" s="64">
        <f t="shared" si="29"/>
        <v>37.4</v>
      </c>
      <c r="L270" s="48">
        <f t="shared" si="30"/>
        <v>3.22</v>
      </c>
    </row>
    <row r="271" spans="2:12" x14ac:dyDescent="0.25">
      <c r="B271" s="41">
        <v>63</v>
      </c>
      <c r="C271">
        <f>115</f>
        <v>115</v>
      </c>
      <c r="D271">
        <v>960</v>
      </c>
      <c r="E271">
        <v>29.8</v>
      </c>
      <c r="F271">
        <v>3.33</v>
      </c>
      <c r="I271" s="48">
        <f t="shared" si="29"/>
        <v>63</v>
      </c>
      <c r="J271" s="48">
        <f t="shared" si="29"/>
        <v>115</v>
      </c>
      <c r="K271" s="64">
        <f t="shared" si="29"/>
        <v>31.2</v>
      </c>
      <c r="L271" s="48">
        <f t="shared" si="30"/>
        <v>3.59</v>
      </c>
    </row>
    <row r="272" spans="2:12" x14ac:dyDescent="0.25">
      <c r="B272" s="41">
        <v>63</v>
      </c>
      <c r="C272">
        <f>115</f>
        <v>115</v>
      </c>
      <c r="D272">
        <v>1200</v>
      </c>
      <c r="E272">
        <v>31.2</v>
      </c>
      <c r="F272">
        <v>3.34</v>
      </c>
      <c r="I272" s="48">
        <f t="shared" si="29"/>
        <v>67</v>
      </c>
      <c r="J272" s="48">
        <f t="shared" si="29"/>
        <v>115</v>
      </c>
      <c r="K272" s="64">
        <f t="shared" si="29"/>
        <v>32.799999999999997</v>
      </c>
      <c r="L272" s="48">
        <f t="shared" si="30"/>
        <v>3.6</v>
      </c>
    </row>
    <row r="273" spans="2:12" x14ac:dyDescent="0.25">
      <c r="B273" s="41">
        <v>63</v>
      </c>
      <c r="C273">
        <f>115</f>
        <v>115</v>
      </c>
      <c r="D273">
        <v>1440</v>
      </c>
      <c r="E273">
        <v>32.700000000000003</v>
      </c>
      <c r="F273">
        <v>3.34</v>
      </c>
      <c r="I273" s="48">
        <f t="shared" si="29"/>
        <v>71</v>
      </c>
      <c r="J273" s="48">
        <f t="shared" si="29"/>
        <v>115</v>
      </c>
      <c r="K273" s="64">
        <f t="shared" si="29"/>
        <v>35</v>
      </c>
      <c r="L273" s="48">
        <f t="shared" si="30"/>
        <v>3.62</v>
      </c>
    </row>
    <row r="274" spans="2:12" x14ac:dyDescent="0.25">
      <c r="B274" s="41">
        <v>67</v>
      </c>
      <c r="C274">
        <f>115</f>
        <v>115</v>
      </c>
      <c r="D274">
        <v>960</v>
      </c>
      <c r="E274">
        <v>31.8</v>
      </c>
      <c r="F274">
        <v>3.34</v>
      </c>
    </row>
    <row r="275" spans="2:12" x14ac:dyDescent="0.25">
      <c r="B275" s="41">
        <v>67</v>
      </c>
      <c r="C275">
        <f>115</f>
        <v>115</v>
      </c>
      <c r="D275">
        <v>1200</v>
      </c>
      <c r="E275">
        <v>32.799999999999997</v>
      </c>
      <c r="F275">
        <v>3.35</v>
      </c>
    </row>
    <row r="276" spans="2:12" x14ac:dyDescent="0.25">
      <c r="B276" s="41">
        <v>67</v>
      </c>
      <c r="C276">
        <f>115</f>
        <v>115</v>
      </c>
      <c r="D276">
        <v>1440</v>
      </c>
      <c r="E276">
        <v>33.5</v>
      </c>
      <c r="F276">
        <v>3.36</v>
      </c>
    </row>
    <row r="277" spans="2:12" x14ac:dyDescent="0.25">
      <c r="B277" s="41">
        <v>71</v>
      </c>
      <c r="C277">
        <f>115</f>
        <v>115</v>
      </c>
      <c r="D277">
        <v>960</v>
      </c>
      <c r="E277">
        <v>34</v>
      </c>
      <c r="F277">
        <v>3.36</v>
      </c>
    </row>
    <row r="278" spans="2:12" x14ac:dyDescent="0.25">
      <c r="B278" s="41">
        <v>71</v>
      </c>
      <c r="C278">
        <f>115</f>
        <v>115</v>
      </c>
      <c r="D278">
        <v>1200</v>
      </c>
      <c r="E278">
        <v>35</v>
      </c>
      <c r="F278">
        <v>3.37</v>
      </c>
    </row>
    <row r="279" spans="2:12" x14ac:dyDescent="0.25">
      <c r="B279" s="41">
        <v>71</v>
      </c>
      <c r="C279">
        <f>115</f>
        <v>115</v>
      </c>
      <c r="D279">
        <v>1440</v>
      </c>
      <c r="E279">
        <v>35.6</v>
      </c>
      <c r="F279">
        <v>3.38</v>
      </c>
    </row>
  </sheetData>
  <mergeCells count="9">
    <mergeCell ref="Q250:S251"/>
    <mergeCell ref="I258:L258"/>
    <mergeCell ref="I259:L260"/>
    <mergeCell ref="M129:N129"/>
    <mergeCell ref="R140:T140"/>
    <mergeCell ref="R141:T142"/>
    <mergeCell ref="I154:L154"/>
    <mergeCell ref="I155:L156"/>
    <mergeCell ref="Q249:S249"/>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3:N88"/>
  <sheetViews>
    <sheetView tabSelected="1" zoomScale="85" zoomScaleNormal="85" workbookViewId="0"/>
  </sheetViews>
  <sheetFormatPr defaultRowHeight="15" x14ac:dyDescent="0.25"/>
  <cols>
    <col min="1" max="1" width="26.140625" style="3" customWidth="1"/>
    <col min="2" max="2" width="22.5703125" style="3" customWidth="1"/>
    <col min="3" max="3" width="22.140625" style="3" customWidth="1"/>
    <col min="4" max="4" width="20.28515625" style="3" customWidth="1"/>
    <col min="5" max="5" width="21.85546875" style="3" customWidth="1"/>
    <col min="6" max="6" width="17.85546875" style="3" customWidth="1"/>
    <col min="7" max="12" width="18.28515625" style="3" customWidth="1"/>
    <col min="13" max="13" width="18.28515625" customWidth="1"/>
    <col min="14" max="14" width="37.140625" bestFit="1" customWidth="1"/>
    <col min="15" max="16384" width="9.140625" style="3"/>
  </cols>
  <sheetData>
    <row r="3" spans="1:14" ht="15.75" x14ac:dyDescent="0.25">
      <c r="A3" s="1" t="s">
        <v>0</v>
      </c>
      <c r="B3" s="2" t="s">
        <v>124</v>
      </c>
      <c r="J3" s="48"/>
      <c r="K3" s="44"/>
      <c r="L3" s="44"/>
      <c r="M3" s="3"/>
      <c r="N3" s="3"/>
    </row>
    <row r="4" spans="1:14" ht="15.75" x14ac:dyDescent="0.25">
      <c r="A4" s="4" t="s">
        <v>1</v>
      </c>
      <c r="B4" s="5" t="s">
        <v>122</v>
      </c>
      <c r="J4" s="48"/>
      <c r="K4" s="44"/>
      <c r="L4" s="44"/>
      <c r="M4" s="3"/>
      <c r="N4" s="3"/>
    </row>
    <row r="5" spans="1:14" ht="15.75" x14ac:dyDescent="0.25">
      <c r="A5" s="4" t="s">
        <v>2</v>
      </c>
      <c r="B5" s="5" t="s">
        <v>121</v>
      </c>
      <c r="H5" s="24"/>
      <c r="J5" s="48"/>
      <c r="K5" s="44"/>
      <c r="L5" s="44"/>
      <c r="M5" s="3"/>
      <c r="N5" s="3"/>
    </row>
    <row r="6" spans="1:14" ht="15.75" x14ac:dyDescent="0.25">
      <c r="A6" s="6" t="s">
        <v>3</v>
      </c>
      <c r="B6" s="7" t="s">
        <v>58</v>
      </c>
      <c r="C6" s="8"/>
      <c r="D6" s="8"/>
      <c r="E6" s="8"/>
      <c r="J6" s="48"/>
      <c r="K6" s="44"/>
      <c r="L6" s="44"/>
      <c r="M6" s="3"/>
      <c r="N6" s="3"/>
    </row>
    <row r="7" spans="1:14" ht="15.75" x14ac:dyDescent="0.25">
      <c r="A7" s="59"/>
      <c r="B7" s="60"/>
      <c r="C7" s="8"/>
      <c r="D7" s="8"/>
      <c r="E7" s="8"/>
      <c r="J7" s="48"/>
      <c r="K7" s="44"/>
      <c r="L7" s="44"/>
      <c r="M7" s="3"/>
      <c r="N7" s="3"/>
    </row>
    <row r="8" spans="1:14" ht="18" customHeight="1" x14ac:dyDescent="0.25">
      <c r="A8" s="4" t="s">
        <v>37</v>
      </c>
      <c r="B8" s="63"/>
      <c r="C8" s="8"/>
      <c r="D8" s="8"/>
      <c r="E8" s="8"/>
      <c r="M8" s="3"/>
      <c r="N8" s="3"/>
    </row>
    <row r="9" spans="1:14" x14ac:dyDescent="0.25">
      <c r="A9" s="9"/>
      <c r="B9" s="10"/>
      <c r="C9" s="8"/>
      <c r="D9" s="8"/>
      <c r="E9" s="8"/>
      <c r="M9" s="3"/>
      <c r="N9" s="3"/>
    </row>
    <row r="10" spans="1:14" ht="35.25" customHeight="1" x14ac:dyDescent="0.25">
      <c r="A10" s="11" t="s">
        <v>4</v>
      </c>
      <c r="B10" s="12" t="s">
        <v>125</v>
      </c>
      <c r="C10" s="13" t="s">
        <v>126</v>
      </c>
      <c r="D10" s="13" t="s">
        <v>127</v>
      </c>
      <c r="E10" s="14" t="s">
        <v>128</v>
      </c>
      <c r="M10" s="3"/>
      <c r="N10" s="3"/>
    </row>
    <row r="11" spans="1:14" x14ac:dyDescent="0.25">
      <c r="B11" s="15"/>
      <c r="C11" s="70"/>
      <c r="D11" s="70"/>
      <c r="E11" s="16"/>
      <c r="F11" s="25"/>
      <c r="I11" s="8"/>
      <c r="J11" s="8"/>
      <c r="M11" s="3"/>
      <c r="N11" s="3"/>
    </row>
    <row r="12" spans="1:14" x14ac:dyDescent="0.25">
      <c r="F12" s="26"/>
      <c r="G12" s="26"/>
      <c r="I12" s="8"/>
      <c r="J12" s="8"/>
      <c r="M12" s="3"/>
      <c r="N12" s="3"/>
    </row>
    <row r="13" spans="1:14" ht="35.25" customHeight="1" x14ac:dyDescent="0.25">
      <c r="A13" s="11" t="s">
        <v>5</v>
      </c>
      <c r="B13" s="12" t="s">
        <v>125</v>
      </c>
      <c r="C13" s="13" t="s">
        <v>126</v>
      </c>
      <c r="D13" s="13" t="s">
        <v>127</v>
      </c>
      <c r="E13" s="14" t="s">
        <v>128</v>
      </c>
      <c r="M13" s="3"/>
      <c r="N13" s="3"/>
    </row>
    <row r="14" spans="1:14" x14ac:dyDescent="0.25">
      <c r="B14" s="17" t="s">
        <v>123</v>
      </c>
      <c r="C14" s="18" t="s">
        <v>123</v>
      </c>
      <c r="D14" s="18" t="s">
        <v>59</v>
      </c>
      <c r="E14" s="19" t="s">
        <v>60</v>
      </c>
      <c r="I14" s="9"/>
      <c r="M14" s="3"/>
      <c r="N14" s="3"/>
    </row>
    <row r="15" spans="1:14" x14ac:dyDescent="0.25">
      <c r="B15" s="20"/>
      <c r="C15" s="56"/>
      <c r="D15" s="56"/>
      <c r="E15" s="21"/>
      <c r="F15" s="27"/>
      <c r="G15" s="28"/>
      <c r="I15" s="28"/>
      <c r="J15" s="28"/>
      <c r="M15" s="3"/>
      <c r="N15" s="3"/>
    </row>
    <row r="16" spans="1:14" x14ac:dyDescent="0.25">
      <c r="B16" s="20"/>
      <c r="C16" s="56"/>
      <c r="D16" s="56"/>
      <c r="E16" s="21"/>
      <c r="F16" s="27"/>
      <c r="G16" s="28"/>
      <c r="I16" s="28"/>
      <c r="J16" s="28"/>
      <c r="M16" s="3"/>
      <c r="N16" s="3"/>
    </row>
    <row r="17" spans="2:14" x14ac:dyDescent="0.25">
      <c r="B17" s="20"/>
      <c r="C17" s="56"/>
      <c r="D17" s="56"/>
      <c r="E17" s="21"/>
      <c r="F17" s="27"/>
      <c r="G17" s="28"/>
      <c r="I17" s="28"/>
      <c r="J17" s="28"/>
      <c r="M17" s="3"/>
      <c r="N17" s="3"/>
    </row>
    <row r="18" spans="2:14" x14ac:dyDescent="0.25">
      <c r="B18" s="20"/>
      <c r="C18" s="56"/>
      <c r="D18" s="56"/>
      <c r="E18" s="21"/>
      <c r="F18" s="27"/>
      <c r="G18" s="28"/>
      <c r="I18" s="28"/>
      <c r="J18" s="28"/>
      <c r="M18" s="3"/>
      <c r="N18" s="3"/>
    </row>
    <row r="19" spans="2:14" x14ac:dyDescent="0.25">
      <c r="B19" s="20"/>
      <c r="C19" s="56"/>
      <c r="D19" s="56"/>
      <c r="E19" s="21"/>
      <c r="F19" s="27"/>
      <c r="G19" s="28"/>
      <c r="I19" s="28"/>
      <c r="J19" s="28"/>
      <c r="M19" s="3"/>
      <c r="N19" s="3"/>
    </row>
    <row r="20" spans="2:14" x14ac:dyDescent="0.25">
      <c r="B20" s="20"/>
      <c r="C20" s="56"/>
      <c r="D20" s="56"/>
      <c r="E20" s="21"/>
      <c r="F20" s="27"/>
      <c r="G20" s="28"/>
      <c r="I20" s="28"/>
      <c r="J20" s="28"/>
      <c r="L20" s="30"/>
      <c r="M20" s="3"/>
      <c r="N20" s="3"/>
    </row>
    <row r="21" spans="2:14" x14ac:dyDescent="0.25">
      <c r="B21" s="20"/>
      <c r="C21" s="56"/>
      <c r="D21" s="56"/>
      <c r="E21" s="21"/>
      <c r="F21" s="27"/>
      <c r="G21" s="31"/>
      <c r="I21" s="31"/>
      <c r="J21" s="31"/>
      <c r="L21" s="30"/>
      <c r="M21" s="3"/>
      <c r="N21" s="3"/>
    </row>
    <row r="22" spans="2:14" x14ac:dyDescent="0.25">
      <c r="B22" s="20"/>
      <c r="C22" s="56"/>
      <c r="D22" s="56"/>
      <c r="E22" s="21"/>
      <c r="F22" s="27"/>
      <c r="G22" s="32"/>
      <c r="I22" s="32"/>
      <c r="J22" s="32"/>
      <c r="L22" s="9"/>
      <c r="M22" s="3"/>
      <c r="N22" s="3"/>
    </row>
    <row r="23" spans="2:14" x14ac:dyDescent="0.25">
      <c r="B23" s="20"/>
      <c r="C23" s="56"/>
      <c r="D23" s="56"/>
      <c r="E23" s="21"/>
      <c r="F23" s="27"/>
      <c r="G23" s="32"/>
      <c r="I23" s="32"/>
      <c r="J23" s="32"/>
      <c r="L23" s="9"/>
      <c r="M23" s="3"/>
      <c r="N23" s="3"/>
    </row>
    <row r="24" spans="2:14" x14ac:dyDescent="0.25">
      <c r="B24" s="20"/>
      <c r="C24" s="56"/>
      <c r="D24" s="56"/>
      <c r="E24" s="21"/>
      <c r="F24" s="27"/>
      <c r="G24" s="32"/>
      <c r="I24" s="32"/>
      <c r="J24" s="32"/>
      <c r="L24" s="10"/>
      <c r="M24" s="3"/>
      <c r="N24" s="3"/>
    </row>
    <row r="25" spans="2:14" x14ac:dyDescent="0.25">
      <c r="B25" s="20"/>
      <c r="C25" s="56"/>
      <c r="D25" s="56"/>
      <c r="E25" s="21"/>
      <c r="F25" s="27"/>
      <c r="L25" s="10"/>
      <c r="M25" s="3"/>
      <c r="N25" s="3"/>
    </row>
    <row r="26" spans="2:14" x14ac:dyDescent="0.25">
      <c r="B26" s="20"/>
      <c r="C26" s="56"/>
      <c r="D26" s="56"/>
      <c r="E26" s="21"/>
      <c r="F26" s="27"/>
      <c r="L26" s="10"/>
      <c r="M26" s="3"/>
      <c r="N26" s="3"/>
    </row>
    <row r="27" spans="2:14" x14ac:dyDescent="0.25">
      <c r="B27" s="22"/>
      <c r="C27" s="54"/>
      <c r="D27" s="54"/>
      <c r="E27" s="23"/>
      <c r="F27" s="27"/>
      <c r="G27" s="9"/>
      <c r="I27" s="29"/>
      <c r="J27" s="9"/>
      <c r="L27" s="26"/>
      <c r="M27" s="3"/>
      <c r="N27" s="3"/>
    </row>
    <row r="28" spans="2:14" x14ac:dyDescent="0.25">
      <c r="B28" s="22"/>
      <c r="C28" s="54"/>
      <c r="D28" s="54"/>
      <c r="E28" s="23"/>
      <c r="F28" s="27"/>
      <c r="G28" s="9"/>
      <c r="I28" s="29"/>
      <c r="J28" s="9"/>
      <c r="L28" s="26"/>
      <c r="M28" s="3"/>
      <c r="N28" s="3"/>
    </row>
    <row r="29" spans="2:14" x14ac:dyDescent="0.25">
      <c r="B29" s="22"/>
      <c r="C29" s="54"/>
      <c r="D29" s="54"/>
      <c r="E29" s="23"/>
      <c r="F29" s="27"/>
      <c r="G29" s="9"/>
      <c r="I29" s="29"/>
      <c r="J29" s="9"/>
      <c r="L29" s="26"/>
      <c r="M29" s="3"/>
      <c r="N29" s="3"/>
    </row>
    <row r="30" spans="2:14" x14ac:dyDescent="0.25">
      <c r="B30" s="22"/>
      <c r="C30" s="54"/>
      <c r="D30" s="54"/>
      <c r="E30" s="23"/>
      <c r="F30" s="21"/>
      <c r="I30" s="29"/>
      <c r="L30" s="26"/>
      <c r="M30" s="3"/>
      <c r="N30" s="3"/>
    </row>
    <row r="31" spans="2:14" x14ac:dyDescent="0.25">
      <c r="B31" s="22"/>
      <c r="C31" s="54"/>
      <c r="D31" s="54"/>
      <c r="E31" s="23"/>
      <c r="F31" s="21"/>
      <c r="I31" s="29"/>
      <c r="L31" s="26"/>
      <c r="M31" s="3"/>
      <c r="N31" s="3"/>
    </row>
    <row r="32" spans="2:14" x14ac:dyDescent="0.25">
      <c r="B32" s="22"/>
      <c r="C32" s="54"/>
      <c r="D32" s="54"/>
      <c r="E32" s="23"/>
      <c r="F32" s="21"/>
      <c r="G32" s="25"/>
      <c r="I32" s="29"/>
      <c r="L32" s="26"/>
      <c r="M32" s="3"/>
      <c r="N32" s="3"/>
    </row>
    <row r="33" spans="1:14" x14ac:dyDescent="0.25">
      <c r="B33" s="22"/>
      <c r="C33" s="54"/>
      <c r="D33" s="54"/>
      <c r="E33" s="23"/>
      <c r="F33" s="21"/>
      <c r="I33" s="29"/>
      <c r="L33" s="26"/>
      <c r="M33" s="3"/>
      <c r="N33" s="3"/>
    </row>
    <row r="34" spans="1:14" x14ac:dyDescent="0.25">
      <c r="B34" s="22"/>
      <c r="C34" s="54"/>
      <c r="D34" s="54"/>
      <c r="E34" s="23"/>
      <c r="F34" s="21"/>
      <c r="G34" s="28"/>
      <c r="I34" s="28"/>
      <c r="J34" s="28"/>
      <c r="L34" s="26"/>
      <c r="M34" s="3"/>
      <c r="N34" s="3"/>
    </row>
    <row r="35" spans="1:14" x14ac:dyDescent="0.25">
      <c r="B35" s="10"/>
      <c r="C35" s="10"/>
      <c r="D35" s="10"/>
      <c r="E35" s="10"/>
      <c r="F35" s="21"/>
      <c r="G35" s="28"/>
      <c r="I35" s="28"/>
      <c r="J35" s="28"/>
      <c r="L35" s="10"/>
      <c r="M35" s="3"/>
      <c r="N35" s="3"/>
    </row>
    <row r="36" spans="1:14" x14ac:dyDescent="0.25">
      <c r="B36" s="10"/>
      <c r="C36" s="10"/>
      <c r="D36" s="10"/>
      <c r="E36" s="10"/>
      <c r="F36" s="21"/>
      <c r="G36" s="28"/>
      <c r="I36" s="28"/>
      <c r="J36" s="28"/>
      <c r="L36" s="10"/>
      <c r="M36" s="3"/>
      <c r="N36" s="3"/>
    </row>
    <row r="37" spans="1:14" x14ac:dyDescent="0.25">
      <c r="A37" s="9"/>
      <c r="B37" s="10"/>
      <c r="C37" s="10"/>
      <c r="D37" s="10"/>
      <c r="E37" s="10"/>
      <c r="F37" s="21"/>
      <c r="G37" s="28"/>
      <c r="I37" s="28"/>
      <c r="J37" s="28"/>
      <c r="L37" s="10"/>
      <c r="M37" s="3"/>
      <c r="N37" s="3"/>
    </row>
    <row r="38" spans="1:14" x14ac:dyDescent="0.25">
      <c r="A38" s="33"/>
      <c r="B38" s="10"/>
      <c r="C38" s="10"/>
      <c r="D38" s="10"/>
      <c r="E38" s="10"/>
      <c r="F38" s="21"/>
      <c r="G38" s="28"/>
      <c r="I38" s="28"/>
      <c r="J38" s="28"/>
      <c r="L38" s="10"/>
      <c r="M38" s="3"/>
      <c r="N38" s="3"/>
    </row>
    <row r="39" spans="1:14" x14ac:dyDescent="0.25">
      <c r="A39" s="9"/>
      <c r="B39" s="10"/>
      <c r="C39" s="10"/>
      <c r="D39" s="10"/>
      <c r="E39" s="10"/>
      <c r="F39" s="21"/>
      <c r="G39" s="28"/>
      <c r="I39" s="28"/>
      <c r="J39" s="28"/>
      <c r="L39" s="10"/>
      <c r="M39" s="3"/>
      <c r="N39" s="3"/>
    </row>
    <row r="40" spans="1:14" x14ac:dyDescent="0.25">
      <c r="A40" s="9"/>
      <c r="B40" s="10"/>
      <c r="C40" s="10"/>
      <c r="D40" s="10"/>
      <c r="E40" s="10"/>
      <c r="F40" s="21"/>
      <c r="G40" s="31"/>
      <c r="I40" s="31"/>
      <c r="J40" s="31"/>
      <c r="L40" s="10"/>
      <c r="M40" s="3"/>
      <c r="N40" s="3"/>
    </row>
    <row r="41" spans="1:14" x14ac:dyDescent="0.25">
      <c r="A41" s="9"/>
      <c r="B41" s="10"/>
      <c r="C41" s="10"/>
      <c r="D41" s="10"/>
      <c r="E41" s="10"/>
      <c r="F41" s="21"/>
      <c r="G41" s="32"/>
      <c r="I41" s="32"/>
      <c r="J41" s="32"/>
      <c r="L41" s="10"/>
      <c r="M41" s="3"/>
      <c r="N41" s="3"/>
    </row>
    <row r="42" spans="1:14" x14ac:dyDescent="0.25">
      <c r="A42" s="9"/>
      <c r="B42" s="10"/>
      <c r="C42" s="10"/>
      <c r="D42" s="10"/>
      <c r="E42" s="10"/>
      <c r="F42" s="21"/>
      <c r="G42" s="32"/>
      <c r="I42" s="32"/>
      <c r="J42" s="32"/>
      <c r="L42" s="10"/>
      <c r="M42" s="3"/>
      <c r="N42" s="3"/>
    </row>
    <row r="43" spans="1:14" x14ac:dyDescent="0.25">
      <c r="A43" s="9"/>
      <c r="B43" s="26"/>
      <c r="C43" s="22"/>
      <c r="D43" s="26"/>
      <c r="E43" s="26"/>
      <c r="F43" s="21"/>
      <c r="G43" s="32"/>
      <c r="I43" s="32"/>
      <c r="J43" s="32"/>
      <c r="K43" s="26"/>
      <c r="L43" s="26"/>
      <c r="M43" s="3"/>
      <c r="N43" s="3"/>
    </row>
    <row r="44" spans="1:14" x14ac:dyDescent="0.25">
      <c r="A44" s="9"/>
      <c r="B44" s="10"/>
      <c r="C44" s="10"/>
      <c r="D44" s="10"/>
      <c r="E44" s="10"/>
      <c r="F44" s="21"/>
      <c r="J44" s="55"/>
      <c r="K44" s="10"/>
      <c r="L44" s="10"/>
      <c r="M44" s="3"/>
      <c r="N44" s="3"/>
    </row>
    <row r="45" spans="1:14" x14ac:dyDescent="0.25">
      <c r="A45" s="9"/>
      <c r="B45" s="10"/>
      <c r="C45" s="10"/>
      <c r="D45" s="10"/>
      <c r="E45" s="10"/>
      <c r="F45" s="21"/>
      <c r="M45" s="3"/>
      <c r="N45" s="3"/>
    </row>
    <row r="46" spans="1:14" x14ac:dyDescent="0.25">
      <c r="A46" s="9"/>
      <c r="B46" s="26"/>
      <c r="C46" s="22"/>
      <c r="D46" s="26"/>
      <c r="E46" s="26"/>
      <c r="G46" s="9"/>
      <c r="I46" s="9"/>
      <c r="M46" s="3"/>
      <c r="N46" s="3"/>
    </row>
    <row r="47" spans="1:14" x14ac:dyDescent="0.25">
      <c r="A47" s="9"/>
      <c r="B47" s="10"/>
      <c r="C47" s="10"/>
      <c r="D47" s="10"/>
      <c r="E47" s="10"/>
      <c r="G47" s="9"/>
      <c r="I47" s="9"/>
      <c r="M47" s="3"/>
      <c r="N47" s="3"/>
    </row>
    <row r="48" spans="1:14" x14ac:dyDescent="0.25">
      <c r="A48" s="9"/>
      <c r="B48" s="10"/>
      <c r="C48" s="10"/>
      <c r="D48" s="10"/>
      <c r="E48" s="10"/>
      <c r="G48" s="9"/>
      <c r="I48" s="9"/>
      <c r="M48" s="3"/>
      <c r="N48" s="3"/>
    </row>
    <row r="49" spans="1:14" x14ac:dyDescent="0.25">
      <c r="A49" s="9"/>
      <c r="B49" s="8"/>
      <c r="C49" s="8"/>
      <c r="D49" s="8"/>
      <c r="E49" s="8"/>
      <c r="M49" s="3"/>
      <c r="N49" s="3"/>
    </row>
    <row r="50" spans="1:14" x14ac:dyDescent="0.25">
      <c r="A50" s="9"/>
      <c r="B50" s="8"/>
      <c r="C50" s="8"/>
      <c r="D50" s="8"/>
      <c r="E50" s="8"/>
      <c r="M50" s="3"/>
      <c r="N50" s="3"/>
    </row>
    <row r="51" spans="1:14" x14ac:dyDescent="0.25">
      <c r="A51" s="9"/>
      <c r="B51" s="8"/>
      <c r="C51" s="8"/>
      <c r="D51" s="8"/>
      <c r="E51" s="8"/>
      <c r="M51" s="3"/>
      <c r="N51" s="3"/>
    </row>
    <row r="52" spans="1:14" x14ac:dyDescent="0.25">
      <c r="B52" s="8"/>
      <c r="C52" s="8"/>
      <c r="D52" s="8"/>
      <c r="E52" s="8"/>
      <c r="M52" s="3"/>
      <c r="N52" s="3"/>
    </row>
    <row r="53" spans="1:14" x14ac:dyDescent="0.25">
      <c r="B53" s="8"/>
      <c r="C53" s="8"/>
      <c r="D53" s="8"/>
      <c r="E53" s="8"/>
      <c r="M53" s="3"/>
      <c r="N53" s="3"/>
    </row>
    <row r="54" spans="1:14" x14ac:dyDescent="0.25">
      <c r="B54" s="8"/>
      <c r="C54" s="8"/>
      <c r="D54" s="8"/>
      <c r="E54" s="8"/>
      <c r="M54" s="3"/>
      <c r="N54" s="3"/>
    </row>
    <row r="55" spans="1:14" x14ac:dyDescent="0.25">
      <c r="B55" s="8"/>
      <c r="C55" s="8"/>
      <c r="D55" s="8"/>
      <c r="E55" s="8"/>
      <c r="M55" s="3"/>
      <c r="N55" s="3"/>
    </row>
    <row r="56" spans="1:14" x14ac:dyDescent="0.25">
      <c r="B56" s="8"/>
      <c r="C56" s="8"/>
      <c r="D56" s="8"/>
      <c r="E56" s="8"/>
      <c r="M56" s="3"/>
      <c r="N56" s="3"/>
    </row>
    <row r="57" spans="1:14" x14ac:dyDescent="0.25">
      <c r="B57" s="8"/>
      <c r="C57" s="8"/>
      <c r="D57" s="8"/>
      <c r="E57" s="8"/>
      <c r="M57" s="3"/>
      <c r="N57" s="3"/>
    </row>
    <row r="58" spans="1:14" x14ac:dyDescent="0.25">
      <c r="B58" s="8"/>
      <c r="C58" s="8"/>
      <c r="D58" s="8"/>
      <c r="E58" s="8"/>
      <c r="M58" s="3"/>
      <c r="N58" s="3"/>
    </row>
    <row r="59" spans="1:14" x14ac:dyDescent="0.25">
      <c r="B59" s="8"/>
      <c r="C59" s="8"/>
      <c r="D59" s="8"/>
      <c r="E59" s="8"/>
      <c r="F59" s="34"/>
      <c r="M59" s="3"/>
      <c r="N59" s="3"/>
    </row>
    <row r="60" spans="1:14" x14ac:dyDescent="0.25">
      <c r="B60" s="8"/>
      <c r="C60" s="8"/>
      <c r="D60" s="8"/>
      <c r="E60" s="8"/>
      <c r="F60" s="34"/>
      <c r="M60" s="3"/>
      <c r="N60" s="3"/>
    </row>
    <row r="61" spans="1:14" x14ac:dyDescent="0.25">
      <c r="B61" s="8"/>
      <c r="C61" s="8"/>
      <c r="D61" s="8"/>
      <c r="E61" s="8"/>
      <c r="F61" s="34"/>
      <c r="M61" s="3"/>
      <c r="N61" s="3"/>
    </row>
    <row r="62" spans="1:14" x14ac:dyDescent="0.25">
      <c r="B62" s="8"/>
      <c r="C62" s="8"/>
      <c r="D62" s="8"/>
      <c r="E62" s="8"/>
      <c r="F62" s="34"/>
      <c r="M62" s="3"/>
      <c r="N62" s="3"/>
    </row>
    <row r="63" spans="1:14" x14ac:dyDescent="0.25">
      <c r="B63" s="8"/>
      <c r="C63" s="8"/>
      <c r="D63" s="8"/>
      <c r="E63" s="8"/>
      <c r="F63" s="34"/>
      <c r="M63" s="3"/>
      <c r="N63" s="3"/>
    </row>
    <row r="64" spans="1:14" x14ac:dyDescent="0.25">
      <c r="B64" s="8"/>
      <c r="C64" s="8"/>
      <c r="D64" s="8"/>
      <c r="E64" s="8"/>
      <c r="F64" s="34"/>
      <c r="M64" s="3"/>
      <c r="N64" s="3"/>
    </row>
    <row r="65" spans="2:14" x14ac:dyDescent="0.25">
      <c r="B65" s="8"/>
      <c r="C65" s="8"/>
      <c r="D65" s="8"/>
      <c r="E65" s="8"/>
      <c r="F65" s="34"/>
      <c r="M65" s="3"/>
      <c r="N65" s="3"/>
    </row>
    <row r="66" spans="2:14" x14ac:dyDescent="0.25">
      <c r="B66" s="8"/>
      <c r="C66" s="8"/>
      <c r="D66" s="8"/>
      <c r="E66" s="8"/>
      <c r="F66" s="34"/>
      <c r="M66" s="3"/>
      <c r="N66" s="3"/>
    </row>
    <row r="67" spans="2:14" x14ac:dyDescent="0.25">
      <c r="B67" s="8"/>
      <c r="C67" s="8"/>
      <c r="D67" s="8"/>
      <c r="E67" s="8"/>
      <c r="F67" s="34"/>
      <c r="M67" s="3"/>
      <c r="N67" s="3"/>
    </row>
    <row r="68" spans="2:14" x14ac:dyDescent="0.25">
      <c r="B68" s="8"/>
      <c r="C68" s="8"/>
      <c r="D68" s="8"/>
      <c r="E68" s="8"/>
      <c r="F68" s="34"/>
      <c r="M68" s="3"/>
      <c r="N68" s="3"/>
    </row>
    <row r="69" spans="2:14" x14ac:dyDescent="0.25">
      <c r="B69" s="8"/>
      <c r="C69" s="8"/>
      <c r="D69" s="8"/>
      <c r="E69" s="8"/>
      <c r="F69" s="34"/>
      <c r="M69" s="3"/>
      <c r="N69" s="3"/>
    </row>
    <row r="70" spans="2:14" x14ac:dyDescent="0.25">
      <c r="B70" s="8"/>
      <c r="C70" s="8"/>
      <c r="D70" s="8"/>
      <c r="E70" s="8"/>
      <c r="F70" s="34"/>
      <c r="M70" s="3"/>
      <c r="N70" s="3"/>
    </row>
    <row r="71" spans="2:14" x14ac:dyDescent="0.25">
      <c r="E71" s="34"/>
      <c r="F71" s="34"/>
      <c r="M71" s="3"/>
      <c r="N71" s="3"/>
    </row>
    <row r="72" spans="2:14" x14ac:dyDescent="0.25">
      <c r="E72" s="34"/>
      <c r="F72" s="34"/>
      <c r="M72" s="3"/>
      <c r="N72" s="3"/>
    </row>
    <row r="73" spans="2:14" x14ac:dyDescent="0.25">
      <c r="E73" s="34"/>
      <c r="F73" s="34"/>
      <c r="M73" s="3"/>
      <c r="N73" s="3"/>
    </row>
    <row r="74" spans="2:14" x14ac:dyDescent="0.25">
      <c r="E74" s="34"/>
      <c r="F74" s="34"/>
      <c r="M74" s="3"/>
      <c r="N74" s="3"/>
    </row>
    <row r="75" spans="2:14" x14ac:dyDescent="0.25">
      <c r="E75" s="34"/>
      <c r="F75" s="34"/>
      <c r="M75" s="3"/>
      <c r="N75" s="3"/>
    </row>
    <row r="76" spans="2:14" x14ac:dyDescent="0.25">
      <c r="E76" s="34"/>
      <c r="F76" s="34"/>
      <c r="M76" s="3"/>
      <c r="N76" s="3"/>
    </row>
    <row r="77" spans="2:14" x14ac:dyDescent="0.25">
      <c r="E77" s="34"/>
      <c r="F77" s="34"/>
      <c r="M77" s="3"/>
      <c r="N77" s="3"/>
    </row>
    <row r="78" spans="2:14" x14ac:dyDescent="0.25">
      <c r="E78" s="34"/>
      <c r="F78" s="34"/>
      <c r="M78" s="3"/>
      <c r="N78" s="3"/>
    </row>
    <row r="79" spans="2:14" x14ac:dyDescent="0.25">
      <c r="E79" s="34"/>
      <c r="F79" s="34"/>
      <c r="M79" s="3"/>
      <c r="N79" s="3"/>
    </row>
    <row r="80" spans="2:14" x14ac:dyDescent="0.25">
      <c r="E80" s="34"/>
      <c r="F80" s="34"/>
      <c r="M80" s="3"/>
      <c r="N80" s="3"/>
    </row>
    <row r="81" spans="5:14" x14ac:dyDescent="0.25">
      <c r="E81" s="34"/>
      <c r="F81" s="34"/>
      <c r="M81" s="3"/>
      <c r="N81" s="3"/>
    </row>
    <row r="82" spans="5:14" x14ac:dyDescent="0.25">
      <c r="E82" s="34"/>
      <c r="F82" s="34"/>
      <c r="M82" s="3"/>
      <c r="N82" s="3"/>
    </row>
    <row r="83" spans="5:14" x14ac:dyDescent="0.25">
      <c r="E83" s="34"/>
      <c r="F83" s="34"/>
      <c r="M83" s="3"/>
      <c r="N83" s="3"/>
    </row>
    <row r="84" spans="5:14" x14ac:dyDescent="0.25">
      <c r="E84" s="34"/>
      <c r="F84" s="34"/>
      <c r="M84" s="3"/>
      <c r="N84" s="3"/>
    </row>
    <row r="85" spans="5:14" x14ac:dyDescent="0.25">
      <c r="E85" s="34"/>
      <c r="F85" s="34"/>
      <c r="M85" s="3"/>
      <c r="N85" s="3"/>
    </row>
    <row r="86" spans="5:14" x14ac:dyDescent="0.25">
      <c r="E86" s="34"/>
      <c r="F86" s="34"/>
      <c r="M86" s="3"/>
      <c r="N86" s="3"/>
    </row>
    <row r="87" spans="5:14" x14ac:dyDescent="0.25">
      <c r="E87" s="34"/>
      <c r="F87" s="34"/>
      <c r="M87" s="3"/>
      <c r="N87" s="3"/>
    </row>
    <row r="88" spans="5:14" x14ac:dyDescent="0.25">
      <c r="E88" s="34"/>
      <c r="F88" s="34"/>
      <c r="M88" s="3"/>
      <c r="N88" s="3"/>
    </row>
  </sheetData>
  <dataValidations count="4">
    <dataValidation type="list" errorStyle="information" allowBlank="1" showInputMessage="1" showErrorMessage="1" promptTitle="Curve Choice" sqref="B3">
      <formula1>"Cooling, Heating, Other"</formula1>
    </dataValidation>
    <dataValidation type="list" allowBlank="1" showErrorMessage="1" promptTitle="Curve Type" sqref="B4">
      <formula1>"Temperature, Flow"</formula1>
    </dataValidation>
    <dataValidation type="list" allowBlank="1" showInputMessage="1" showErrorMessage="1" sqref="B5">
      <formula1>"Biquadratic, Cubic, Quadratic"</formula1>
    </dataValidation>
    <dataValidation type="list" allowBlank="1" showInputMessage="1" showErrorMessage="1" sqref="B6">
      <formula1>"IP, SI"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 r:id="rId4" name="Button 20">
              <controlPr defaultSize="0" print="0" autoFill="0" autoPict="0" macro="[0]!ManageCurveFit">
                <anchor moveWithCells="1" sizeWithCells="1">
                  <from>
                    <xdr:col>3</xdr:col>
                    <xdr:colOff>104775</xdr:colOff>
                    <xdr:row>3</xdr:row>
                    <xdr:rowOff>38100</xdr:rowOff>
                  </from>
                  <to>
                    <xdr:col>4</xdr:col>
                    <xdr:colOff>1409700</xdr:colOff>
                    <xdr:row>5</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M49"/>
  <sheetViews>
    <sheetView zoomScale="85" zoomScaleNormal="85" workbookViewId="0">
      <selection activeCell="B26" sqref="B26"/>
    </sheetView>
  </sheetViews>
  <sheetFormatPr defaultRowHeight="15" x14ac:dyDescent="0.25"/>
  <cols>
    <col min="1" max="1" width="3.140625" customWidth="1"/>
    <col min="2" max="2" width="28.42578125" bestFit="1" customWidth="1"/>
    <col min="3" max="3" width="24.42578125" bestFit="1" customWidth="1"/>
    <col min="4" max="8" width="9.7109375" customWidth="1"/>
    <col min="9" max="9" width="13.5703125" customWidth="1"/>
    <col min="10" max="10" width="12.28515625" customWidth="1"/>
    <col min="13" max="13" width="47" customWidth="1"/>
  </cols>
  <sheetData>
    <row r="2" spans="2:13" x14ac:dyDescent="0.25">
      <c r="B2" s="4" t="s">
        <v>39</v>
      </c>
      <c r="C2" t="s">
        <v>56</v>
      </c>
    </row>
    <row r="3" spans="2:13" x14ac:dyDescent="0.25">
      <c r="B3" s="6" t="s">
        <v>41</v>
      </c>
      <c r="C3" t="s">
        <v>57</v>
      </c>
    </row>
    <row r="5" spans="2:13" x14ac:dyDescent="0.25">
      <c r="F5" t="e">
        <f>IF(AND(CurveType="Quadratic", $C$4="Capacity"), OUTPUT!B9, IF(AND(CurveType="Biquadratic", $C$5="Efficiency"), OUTPUT!$B29, NA()))</f>
        <v>#N/A</v>
      </c>
    </row>
    <row r="6" spans="2:13" x14ac:dyDescent="0.25">
      <c r="B6" s="57" t="s">
        <v>206</v>
      </c>
      <c r="C6" s="58" t="s">
        <v>6</v>
      </c>
    </row>
    <row r="7" spans="2:13" x14ac:dyDescent="0.25">
      <c r="B7" s="61" t="s">
        <v>207</v>
      </c>
      <c r="C7" s="58"/>
      <c r="E7" s="57"/>
    </row>
    <row r="8" spans="2:13" x14ac:dyDescent="0.25">
      <c r="B8" s="61" t="s">
        <v>208</v>
      </c>
      <c r="C8" s="58" t="s">
        <v>38</v>
      </c>
      <c r="E8" s="57"/>
    </row>
    <row r="9" spans="2:13" x14ac:dyDescent="0.25">
      <c r="B9" s="61">
        <v>1.2163900485000001</v>
      </c>
      <c r="C9" s="58" t="s">
        <v>7</v>
      </c>
      <c r="E9" s="57"/>
      <c r="M9" s="69"/>
    </row>
    <row r="10" spans="2:13" x14ac:dyDescent="0.25">
      <c r="B10" s="61">
        <v>1.2345209999999999E-3</v>
      </c>
      <c r="C10" s="58" t="s">
        <v>8</v>
      </c>
      <c r="E10" s="57"/>
      <c r="M10" s="69"/>
    </row>
    <row r="11" spans="2:13" x14ac:dyDescent="0.25">
      <c r="B11" s="61">
        <v>-4.0129999999999997E-7</v>
      </c>
      <c r="C11" s="58" t="s">
        <v>9</v>
      </c>
      <c r="E11" s="57"/>
      <c r="M11" s="69"/>
    </row>
    <row r="12" spans="2:13" x14ac:dyDescent="0.25">
      <c r="B12" s="61">
        <v>800</v>
      </c>
      <c r="C12" s="58" t="s">
        <v>10</v>
      </c>
      <c r="E12" s="57"/>
      <c r="M12" s="69"/>
    </row>
    <row r="13" spans="2:13" x14ac:dyDescent="0.25">
      <c r="B13" s="61">
        <v>1225</v>
      </c>
      <c r="C13" s="58" t="s">
        <v>11</v>
      </c>
      <c r="E13" s="57"/>
      <c r="M13" s="69"/>
    </row>
    <row r="14" spans="2:13" x14ac:dyDescent="0.25">
      <c r="B14" s="61">
        <v>1.9470000000000001</v>
      </c>
      <c r="C14" s="58" t="s">
        <v>12</v>
      </c>
      <c r="E14" s="57"/>
      <c r="M14" s="69"/>
    </row>
    <row r="15" spans="2:13" x14ac:dyDescent="0.25">
      <c r="B15" s="65">
        <v>2.1269999999999998</v>
      </c>
      <c r="C15" s="58" t="s">
        <v>13</v>
      </c>
      <c r="E15" s="57"/>
      <c r="M15" s="69"/>
    </row>
    <row r="16" spans="2:13" x14ac:dyDescent="0.25">
      <c r="B16" s="65" t="s">
        <v>122</v>
      </c>
      <c r="C16" s="58" t="s">
        <v>14</v>
      </c>
      <c r="E16" s="57"/>
      <c r="M16" s="69"/>
    </row>
    <row r="17" spans="2:13" x14ac:dyDescent="0.25">
      <c r="B17" s="65" t="s">
        <v>15</v>
      </c>
      <c r="C17" s="58" t="s">
        <v>16</v>
      </c>
      <c r="E17" s="57"/>
      <c r="M17" s="69"/>
    </row>
    <row r="18" spans="2:13" x14ac:dyDescent="0.25">
      <c r="B18" s="65"/>
      <c r="C18" s="58"/>
      <c r="E18" s="57"/>
      <c r="M18" s="69"/>
    </row>
    <row r="19" spans="2:13" x14ac:dyDescent="0.25">
      <c r="B19" s="62"/>
      <c r="C19" s="58"/>
      <c r="E19" s="57"/>
      <c r="M19" s="69"/>
    </row>
    <row r="20" spans="2:13" x14ac:dyDescent="0.25">
      <c r="B20" s="62" t="s">
        <v>209</v>
      </c>
      <c r="C20" s="58" t="s">
        <v>6</v>
      </c>
      <c r="E20" s="57"/>
      <c r="M20" s="69"/>
    </row>
    <row r="21" spans="2:13" x14ac:dyDescent="0.25">
      <c r="B21" s="57" t="s">
        <v>207</v>
      </c>
      <c r="C21" s="58"/>
      <c r="E21" s="57"/>
    </row>
    <row r="22" spans="2:13" x14ac:dyDescent="0.25">
      <c r="B22" s="57" t="s">
        <v>210</v>
      </c>
      <c r="C22" s="58" t="s">
        <v>38</v>
      </c>
    </row>
    <row r="23" spans="2:13" x14ac:dyDescent="0.25">
      <c r="B23" s="57">
        <v>3.4728433500000003E-2</v>
      </c>
      <c r="C23" s="58" t="s">
        <v>7</v>
      </c>
    </row>
    <row r="24" spans="2:13" x14ac:dyDescent="0.25">
      <c r="B24" s="57">
        <v>-8.8021E-6</v>
      </c>
      <c r="C24" s="58" t="s">
        <v>8</v>
      </c>
    </row>
    <row r="25" spans="2:13" x14ac:dyDescent="0.25">
      <c r="B25" s="57">
        <v>3.3000000000000002E-9</v>
      </c>
      <c r="C25" s="58" t="s">
        <v>9</v>
      </c>
    </row>
    <row r="26" spans="2:13" x14ac:dyDescent="0.25">
      <c r="B26" s="61">
        <v>800</v>
      </c>
      <c r="C26" s="58" t="s">
        <v>10</v>
      </c>
      <c r="E26" s="57"/>
      <c r="F26" s="58"/>
    </row>
    <row r="27" spans="2:13" x14ac:dyDescent="0.25">
      <c r="B27" s="61">
        <v>1225</v>
      </c>
      <c r="C27" s="58" t="s">
        <v>11</v>
      </c>
      <c r="E27" s="57"/>
      <c r="F27" s="58"/>
    </row>
    <row r="28" spans="2:13" x14ac:dyDescent="0.25">
      <c r="B28" s="61">
        <v>2.8899999999999999E-2</v>
      </c>
      <c r="C28" s="58" t="s">
        <v>12</v>
      </c>
      <c r="E28" s="57"/>
      <c r="F28" s="58"/>
    </row>
    <row r="29" spans="2:13" x14ac:dyDescent="0.25">
      <c r="B29" s="61">
        <v>2.98E-2</v>
      </c>
      <c r="C29" s="58" t="s">
        <v>13</v>
      </c>
      <c r="E29" s="57"/>
      <c r="F29" s="58"/>
      <c r="M29" s="69"/>
    </row>
    <row r="30" spans="2:13" x14ac:dyDescent="0.25">
      <c r="B30" s="61" t="s">
        <v>122</v>
      </c>
      <c r="C30" s="58" t="s">
        <v>14</v>
      </c>
      <c r="E30" s="57"/>
      <c r="F30" s="58"/>
      <c r="M30" s="69"/>
    </row>
    <row r="31" spans="2:13" x14ac:dyDescent="0.25">
      <c r="B31" s="61" t="s">
        <v>15</v>
      </c>
      <c r="C31" s="58" t="s">
        <v>16</v>
      </c>
      <c r="E31" s="57"/>
      <c r="F31" s="58"/>
      <c r="M31" s="69"/>
    </row>
    <row r="32" spans="2:13" x14ac:dyDescent="0.25">
      <c r="B32" s="61"/>
      <c r="C32" s="58"/>
      <c r="E32" s="57"/>
      <c r="F32" s="58"/>
      <c r="M32" s="69"/>
    </row>
    <row r="33" spans="2:13" x14ac:dyDescent="0.25">
      <c r="B33" s="61"/>
      <c r="C33" s="58"/>
      <c r="E33" s="57"/>
      <c r="F33" s="58"/>
      <c r="M33" s="69"/>
    </row>
    <row r="34" spans="2:13" x14ac:dyDescent="0.25">
      <c r="B34" s="61"/>
      <c r="C34" s="58"/>
      <c r="E34" s="57"/>
      <c r="F34" s="58"/>
      <c r="M34" s="69"/>
    </row>
    <row r="35" spans="2:13" x14ac:dyDescent="0.25">
      <c r="B35" s="65"/>
      <c r="C35" s="58"/>
      <c r="E35" s="57"/>
      <c r="F35" s="58"/>
      <c r="M35" s="69"/>
    </row>
    <row r="36" spans="2:13" x14ac:dyDescent="0.25">
      <c r="B36" s="57"/>
      <c r="C36" s="58"/>
      <c r="E36" s="57"/>
      <c r="F36" s="58"/>
      <c r="M36" s="69"/>
    </row>
    <row r="37" spans="2:13" x14ac:dyDescent="0.25">
      <c r="B37" s="57"/>
      <c r="C37" s="58"/>
      <c r="E37" s="57"/>
      <c r="F37" s="58"/>
      <c r="M37" s="69"/>
    </row>
    <row r="38" spans="2:13" x14ac:dyDescent="0.25">
      <c r="B38" s="57"/>
      <c r="C38" s="58"/>
      <c r="E38" s="57"/>
      <c r="F38" s="58"/>
      <c r="M38" s="69"/>
    </row>
    <row r="39" spans="2:13" x14ac:dyDescent="0.25">
      <c r="B39" s="57"/>
      <c r="C39" s="58"/>
      <c r="E39" s="57"/>
      <c r="F39" s="58"/>
      <c r="M39" s="69"/>
    </row>
    <row r="40" spans="2:13" x14ac:dyDescent="0.25">
      <c r="B40" s="57"/>
      <c r="C40" s="58"/>
      <c r="E40" s="57"/>
      <c r="F40" s="58"/>
      <c r="M40" s="69"/>
    </row>
    <row r="41" spans="2:13" x14ac:dyDescent="0.25">
      <c r="B41" s="57"/>
      <c r="C41" s="58"/>
    </row>
    <row r="42" spans="2:13" x14ac:dyDescent="0.25">
      <c r="B42" s="57"/>
      <c r="C42" s="58"/>
    </row>
    <row r="43" spans="2:13" x14ac:dyDescent="0.25">
      <c r="B43" s="57"/>
      <c r="C43" s="58"/>
    </row>
    <row r="44" spans="2:13" x14ac:dyDescent="0.25">
      <c r="B44" s="57"/>
      <c r="C44" s="58"/>
    </row>
    <row r="45" spans="2:13" x14ac:dyDescent="0.25">
      <c r="B45" s="57"/>
    </row>
    <row r="46" spans="2:13" x14ac:dyDescent="0.25">
      <c r="B46" s="57"/>
    </row>
    <row r="47" spans="2:13" x14ac:dyDescent="0.25">
      <c r="B47" s="57"/>
    </row>
    <row r="48" spans="2:13" x14ac:dyDescent="0.25">
      <c r="B48" s="57"/>
    </row>
    <row r="49" spans="2:2" x14ac:dyDescent="0.25">
      <c r="B49" s="57"/>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aveCurveObjToTextFile">
                <anchor moveWithCells="1" sizeWithCells="1">
                  <from>
                    <xdr:col>3</xdr:col>
                    <xdr:colOff>9525</xdr:colOff>
                    <xdr:row>4</xdr:row>
                    <xdr:rowOff>0</xdr:rowOff>
                  </from>
                  <to>
                    <xdr:col>6</xdr:col>
                    <xdr:colOff>295275</xdr:colOff>
                    <xdr:row>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98"/>
  <sheetViews>
    <sheetView workbookViewId="0">
      <selection activeCell="D4" sqref="D4"/>
    </sheetView>
  </sheetViews>
  <sheetFormatPr defaultRowHeight="12.75" x14ac:dyDescent="0.2"/>
  <cols>
    <col min="1" max="2" width="3.42578125" style="72" customWidth="1"/>
    <col min="3" max="3" width="69.7109375" style="72" customWidth="1"/>
    <col min="4" max="4" width="30.28515625" style="72" customWidth="1"/>
    <col min="5" max="5" width="11" style="72" customWidth="1"/>
    <col min="6" max="18" width="7.85546875" style="72" customWidth="1"/>
    <col min="19" max="16384" width="9.140625" style="72"/>
  </cols>
  <sheetData>
    <row r="1" spans="1:18" ht="15" x14ac:dyDescent="0.25">
      <c r="A1" s="72" t="s">
        <v>199</v>
      </c>
      <c r="C1" s="90" t="s">
        <v>200</v>
      </c>
      <c r="M1" s="86"/>
    </row>
    <row r="3" spans="1:18" x14ac:dyDescent="0.2">
      <c r="C3" s="73" t="s">
        <v>129</v>
      </c>
      <c r="F3" s="73" t="s">
        <v>62</v>
      </c>
    </row>
    <row r="4" spans="1:18" x14ac:dyDescent="0.2">
      <c r="C4" s="102" t="s">
        <v>130</v>
      </c>
      <c r="D4" s="72" t="s">
        <v>213</v>
      </c>
      <c r="F4" s="75" t="s">
        <v>64</v>
      </c>
      <c r="G4" s="75" t="s">
        <v>65</v>
      </c>
      <c r="H4" s="75" t="s">
        <v>66</v>
      </c>
      <c r="I4" s="75" t="s">
        <v>67</v>
      </c>
      <c r="J4" s="75" t="s">
        <v>68</v>
      </c>
      <c r="K4" s="75" t="s">
        <v>69</v>
      </c>
      <c r="L4" s="75" t="s">
        <v>70</v>
      </c>
      <c r="M4" s="84" t="s">
        <v>71</v>
      </c>
      <c r="N4" s="84" t="s">
        <v>72</v>
      </c>
      <c r="O4" s="76" t="s">
        <v>73</v>
      </c>
      <c r="P4" s="76" t="s">
        <v>74</v>
      </c>
      <c r="Q4" s="76" t="s">
        <v>75</v>
      </c>
      <c r="R4" s="76" t="s">
        <v>76</v>
      </c>
    </row>
    <row r="5" spans="1:18" x14ac:dyDescent="0.2">
      <c r="C5" s="101" t="s">
        <v>205</v>
      </c>
      <c r="F5" s="83">
        <f>IF(AND(CurveType="Biquadratic", $C$4="Capacity"), OUTPUT!$B9, IF(AND(CurveType="Biquadratic", $C$4="Efficiency"), OUTPUT!$B29, NA()))</f>
        <v>1.2163900485000001</v>
      </c>
      <c r="G5" s="83">
        <f>IF(AND(CurveType="Biquadratic", $C$4="Capacity"), OUTPUT!$B10, IF(AND(CurveType="Biquadratic", $C$4="Efficiency"), OUTPUT!$B30, NA()))</f>
        <v>1.2345209999999999E-3</v>
      </c>
      <c r="H5" s="83">
        <f>IF(AND(CurveType="Biquadratic", $C$4="Capacity"), OUTPUT!$B11, IF(AND(CurveType="Biquadratic", $C$4="Efficiency"), OUTPUT!$B31, NA()))</f>
        <v>-4.0129999999999997E-7</v>
      </c>
      <c r="I5" s="83">
        <f>IF(AND(CurveType="Biquadratic", $C$4="Capacity"), OUTPUT!$B12, IF(AND(CurveType="Biquadratic", $C$4="Efficiency"), OUTPUT!$B32, NA()))</f>
        <v>800</v>
      </c>
      <c r="J5" s="83">
        <f>IF(AND(CurveType="Biquadratic", $C$4="Capacity"), OUTPUT!$B13, IF(AND(CurveType="Biquadratic", $C$4="Efficiency"), OUTPUT!$B33, NA()))</f>
        <v>1225</v>
      </c>
      <c r="K5" s="83">
        <f>IF(AND(CurveType="Biquadratic", $C$4="Capacity"), OUTPUT!$B14, IF(AND(CurveType="Biquadratic", $C$4="Efficiency"), OUTPUT!$B34, NA()))</f>
        <v>1.9470000000000001</v>
      </c>
      <c r="L5" s="100" t="str">
        <f>IF(AND(CurveType="Biquadratic", $C$4="Capacity"), OUTPUT!B8, IF(AND(CurveType="Biquadratic", $C$4="Efficiency"), OUTPUT!B28, NA()))</f>
        <v>OtherCAPFTemp</v>
      </c>
      <c r="M5" s="89" t="s">
        <v>132</v>
      </c>
      <c r="N5" s="89" t="s">
        <v>133</v>
      </c>
      <c r="O5" s="71">
        <f>IF(AND(CurveType="Biquadratic", $C$4="Capacity"), OUTPUT!$B15, IF(AND(CurveType="Biquadratic", $C$4="Efficiency"), OUTPUT!$B35, NA()))</f>
        <v>2.1269999999999998</v>
      </c>
      <c r="P5" s="71" t="str">
        <f>IF(AND(CurveType="Biquadratic", $C$4="Capacity"), OUTPUT!$B16, IF(AND(CurveType="Biquadratic", $C$4="Efficiency"), OUTPUT!$B36, NA()))</f>
        <v>Temperature</v>
      </c>
      <c r="Q5" s="71" t="str">
        <f>IF(AND(CurveType="Biquadratic", $C$4="Capacity"), OUTPUT!$B17, IF(AND(CurveType="Biquadratic", $C$4="Efficiency"), OUTPUT!$B37, NA()))</f>
        <v>Dimensionless</v>
      </c>
      <c r="R5" s="71">
        <f>IF(AND(CurveType="Biquadratic", $C$4="Capacity"), OUTPUT!$B18, IF(AND(CurveType="Biquadratic", $C$4="Efficiency"), OUTPUT!$B38, NA()))</f>
        <v>0</v>
      </c>
    </row>
    <row r="7" spans="1:18" x14ac:dyDescent="0.2">
      <c r="F7" s="73" t="s">
        <v>77</v>
      </c>
    </row>
    <row r="8" spans="1:18" x14ac:dyDescent="0.2">
      <c r="F8" s="77"/>
      <c r="G8" s="78" t="str">
        <f>X_Axis</f>
        <v>Tcw,l</v>
      </c>
      <c r="H8" s="78"/>
      <c r="I8" s="78"/>
      <c r="J8" s="78"/>
      <c r="K8" s="78"/>
      <c r="L8" s="78"/>
      <c r="M8" s="78"/>
    </row>
    <row r="9" spans="1:18" x14ac:dyDescent="0.2">
      <c r="F9" s="77" t="str">
        <f>Y_Axis</f>
        <v>Tcond,e</v>
      </c>
      <c r="G9" s="79">
        <f>X_min</f>
        <v>2.1269999999999998</v>
      </c>
      <c r="H9" s="79" t="e">
        <f>X_min+1*(X_max-X_min)/6</f>
        <v>#VALUE!</v>
      </c>
      <c r="I9" s="79" t="e">
        <f>X_min+2*(X_max-X_min)/6</f>
        <v>#VALUE!</v>
      </c>
      <c r="J9" s="79" t="e">
        <f>X_min+3*(X_max-X_min)/6</f>
        <v>#VALUE!</v>
      </c>
      <c r="K9" s="79" t="e">
        <f>X_min+4*(X_max-X_min)/6</f>
        <v>#VALUE!</v>
      </c>
      <c r="L9" s="79" t="e">
        <f>X_min+5*(X_max-X_min)/6</f>
        <v>#VALUE!</v>
      </c>
      <c r="M9" s="79" t="str">
        <f>X_max</f>
        <v>Temperature</v>
      </c>
    </row>
    <row r="10" spans="1:18" x14ac:dyDescent="0.2">
      <c r="F10" s="79" t="str">
        <f>Y_min</f>
        <v>Dimensionless</v>
      </c>
      <c r="G10" s="80" t="e">
        <f t="shared" ref="G10:M16" si="0">a+b*G$9+c_*G$9^2+d*$F10+e*$F10^2+f*G$9*$F10</f>
        <v>#VALUE!</v>
      </c>
      <c r="H10" s="80" t="e">
        <f t="shared" si="0"/>
        <v>#VALUE!</v>
      </c>
      <c r="I10" s="80" t="e">
        <f t="shared" si="0"/>
        <v>#VALUE!</v>
      </c>
      <c r="J10" s="80" t="e">
        <f t="shared" si="0"/>
        <v>#VALUE!</v>
      </c>
      <c r="K10" s="80" t="e">
        <f t="shared" si="0"/>
        <v>#VALUE!</v>
      </c>
      <c r="L10" s="80" t="e">
        <f t="shared" si="0"/>
        <v>#VALUE!</v>
      </c>
      <c r="M10" s="80" t="e">
        <f t="shared" si="0"/>
        <v>#VALUE!</v>
      </c>
    </row>
    <row r="11" spans="1:18" x14ac:dyDescent="0.2">
      <c r="F11" s="79" t="e">
        <f>Y_min + 1*(Y_max-Y_min)/6</f>
        <v>#VALUE!</v>
      </c>
      <c r="G11" s="80" t="e">
        <f t="shared" si="0"/>
        <v>#VALUE!</v>
      </c>
      <c r="H11" s="80" t="e">
        <f t="shared" si="0"/>
        <v>#VALUE!</v>
      </c>
      <c r="I11" s="80" t="e">
        <f t="shared" si="0"/>
        <v>#VALUE!</v>
      </c>
      <c r="J11" s="80" t="e">
        <f t="shared" si="0"/>
        <v>#VALUE!</v>
      </c>
      <c r="K11" s="80" t="e">
        <f t="shared" si="0"/>
        <v>#VALUE!</v>
      </c>
      <c r="L11" s="80" t="e">
        <f t="shared" si="0"/>
        <v>#VALUE!</v>
      </c>
      <c r="M11" s="80" t="e">
        <f t="shared" si="0"/>
        <v>#VALUE!</v>
      </c>
    </row>
    <row r="12" spans="1:18" x14ac:dyDescent="0.2">
      <c r="F12" s="79" t="e">
        <f>Y_min + 2*(Y_max-Y_min)/6</f>
        <v>#VALUE!</v>
      </c>
      <c r="G12" s="80" t="e">
        <f t="shared" si="0"/>
        <v>#VALUE!</v>
      </c>
      <c r="H12" s="80" t="e">
        <f t="shared" si="0"/>
        <v>#VALUE!</v>
      </c>
      <c r="I12" s="80" t="e">
        <f t="shared" si="0"/>
        <v>#VALUE!</v>
      </c>
      <c r="J12" s="80" t="e">
        <f t="shared" si="0"/>
        <v>#VALUE!</v>
      </c>
      <c r="K12" s="80" t="e">
        <f t="shared" si="0"/>
        <v>#VALUE!</v>
      </c>
      <c r="L12" s="80" t="e">
        <f t="shared" si="0"/>
        <v>#VALUE!</v>
      </c>
      <c r="M12" s="80" t="e">
        <f t="shared" si="0"/>
        <v>#VALUE!</v>
      </c>
    </row>
    <row r="13" spans="1:18" x14ac:dyDescent="0.2">
      <c r="F13" s="79" t="e">
        <f>Y_min + 3*(Y_max-Y_min)/6</f>
        <v>#VALUE!</v>
      </c>
      <c r="G13" s="80" t="e">
        <f t="shared" si="0"/>
        <v>#VALUE!</v>
      </c>
      <c r="H13" s="80" t="e">
        <f t="shared" si="0"/>
        <v>#VALUE!</v>
      </c>
      <c r="I13" s="80" t="e">
        <f t="shared" si="0"/>
        <v>#VALUE!</v>
      </c>
      <c r="J13" s="80" t="e">
        <f t="shared" si="0"/>
        <v>#VALUE!</v>
      </c>
      <c r="K13" s="80" t="e">
        <f t="shared" si="0"/>
        <v>#VALUE!</v>
      </c>
      <c r="L13" s="80" t="e">
        <f t="shared" si="0"/>
        <v>#VALUE!</v>
      </c>
      <c r="M13" s="80" t="e">
        <f t="shared" si="0"/>
        <v>#VALUE!</v>
      </c>
    </row>
    <row r="14" spans="1:18" x14ac:dyDescent="0.2">
      <c r="F14" s="79" t="e">
        <f>Y_min + 4*(Y_max-Y_min)/6</f>
        <v>#VALUE!</v>
      </c>
      <c r="G14" s="80" t="e">
        <f t="shared" si="0"/>
        <v>#VALUE!</v>
      </c>
      <c r="H14" s="80" t="e">
        <f t="shared" si="0"/>
        <v>#VALUE!</v>
      </c>
      <c r="I14" s="80" t="e">
        <f t="shared" si="0"/>
        <v>#VALUE!</v>
      </c>
      <c r="J14" s="80" t="e">
        <f t="shared" si="0"/>
        <v>#VALUE!</v>
      </c>
      <c r="K14" s="80" t="e">
        <f t="shared" si="0"/>
        <v>#VALUE!</v>
      </c>
      <c r="L14" s="80" t="e">
        <f t="shared" si="0"/>
        <v>#VALUE!</v>
      </c>
      <c r="M14" s="80" t="e">
        <f t="shared" si="0"/>
        <v>#VALUE!</v>
      </c>
    </row>
    <row r="15" spans="1:18" x14ac:dyDescent="0.2">
      <c r="F15" s="79" t="e">
        <f>Y_min +5*(Y_max-Y_min)/6</f>
        <v>#VALUE!</v>
      </c>
      <c r="G15" s="80" t="e">
        <f t="shared" si="0"/>
        <v>#VALUE!</v>
      </c>
      <c r="H15" s="80" t="e">
        <f t="shared" si="0"/>
        <v>#VALUE!</v>
      </c>
      <c r="I15" s="80" t="e">
        <f t="shared" si="0"/>
        <v>#VALUE!</v>
      </c>
      <c r="J15" s="80" t="e">
        <f t="shared" si="0"/>
        <v>#VALUE!</v>
      </c>
      <c r="K15" s="80" t="e">
        <f t="shared" si="0"/>
        <v>#VALUE!</v>
      </c>
      <c r="L15" s="80" t="e">
        <f t="shared" si="0"/>
        <v>#VALUE!</v>
      </c>
      <c r="M15" s="80" t="e">
        <f t="shared" si="0"/>
        <v>#VALUE!</v>
      </c>
    </row>
    <row r="16" spans="1:18" x14ac:dyDescent="0.2">
      <c r="F16" s="79">
        <f>Y_max</f>
        <v>0</v>
      </c>
      <c r="G16" s="80">
        <f t="shared" si="0"/>
        <v>1.2190140591340324</v>
      </c>
      <c r="H16" s="80" t="e">
        <f t="shared" si="0"/>
        <v>#VALUE!</v>
      </c>
      <c r="I16" s="80" t="e">
        <f t="shared" si="0"/>
        <v>#VALUE!</v>
      </c>
      <c r="J16" s="80" t="e">
        <f t="shared" si="0"/>
        <v>#VALUE!</v>
      </c>
      <c r="K16" s="80" t="e">
        <f t="shared" si="0"/>
        <v>#VALUE!</v>
      </c>
      <c r="L16" s="80" t="e">
        <f t="shared" si="0"/>
        <v>#VALUE!</v>
      </c>
      <c r="M16" s="80" t="e">
        <f t="shared" si="0"/>
        <v>#VALUE!</v>
      </c>
    </row>
    <row r="19" spans="6:13" x14ac:dyDescent="0.2">
      <c r="F19" s="73"/>
    </row>
    <row r="24" spans="6:13" x14ac:dyDescent="0.2">
      <c r="J24" s="72" t="s">
        <v>202</v>
      </c>
      <c r="K24" s="72" t="s">
        <v>40</v>
      </c>
      <c r="L24" s="72" t="s">
        <v>201</v>
      </c>
      <c r="M24" s="72" t="s">
        <v>124</v>
      </c>
    </row>
    <row r="25" spans="6:13" x14ac:dyDescent="0.2">
      <c r="J25" s="72" t="s">
        <v>203</v>
      </c>
      <c r="K25" s="72" t="s">
        <v>122</v>
      </c>
    </row>
    <row r="26" spans="6:13" x14ac:dyDescent="0.2">
      <c r="K26" s="72" t="s">
        <v>55</v>
      </c>
    </row>
    <row r="51" spans="2:5" x14ac:dyDescent="0.2">
      <c r="C51" s="73" t="s">
        <v>61</v>
      </c>
    </row>
    <row r="52" spans="2:5" x14ac:dyDescent="0.2">
      <c r="C52" s="74" t="s">
        <v>63</v>
      </c>
    </row>
    <row r="54" spans="2:5" x14ac:dyDescent="0.2">
      <c r="B54" s="81">
        <v>8</v>
      </c>
      <c r="C54" s="82" t="s">
        <v>78</v>
      </c>
      <c r="E54" s="82"/>
    </row>
    <row r="55" spans="2:5" x14ac:dyDescent="0.2">
      <c r="B55" s="81">
        <v>9</v>
      </c>
      <c r="C55" s="82" t="s">
        <v>79</v>
      </c>
      <c r="E55" s="82"/>
    </row>
    <row r="56" spans="2:5" x14ac:dyDescent="0.2">
      <c r="B56" s="81">
        <v>10</v>
      </c>
      <c r="C56" s="82" t="s">
        <v>80</v>
      </c>
      <c r="D56" s="82"/>
      <c r="E56" s="82"/>
    </row>
    <row r="57" spans="2:5" x14ac:dyDescent="0.2">
      <c r="B57" s="81">
        <v>11</v>
      </c>
      <c r="C57" s="82" t="s">
        <v>81</v>
      </c>
      <c r="D57" s="82"/>
      <c r="E57" s="82"/>
    </row>
    <row r="58" spans="2:5" x14ac:dyDescent="0.2">
      <c r="B58" s="81">
        <v>12</v>
      </c>
      <c r="C58" s="82" t="s">
        <v>82</v>
      </c>
      <c r="D58" s="82"/>
      <c r="E58" s="82"/>
    </row>
    <row r="59" spans="2:5" x14ac:dyDescent="0.2">
      <c r="B59" s="81">
        <v>13</v>
      </c>
      <c r="C59" s="82" t="s">
        <v>83</v>
      </c>
      <c r="D59" s="82"/>
      <c r="E59" s="82"/>
    </row>
    <row r="60" spans="2:5" x14ac:dyDescent="0.2">
      <c r="B60" s="81">
        <v>17</v>
      </c>
      <c r="C60" s="82" t="s">
        <v>84</v>
      </c>
      <c r="D60" s="82"/>
      <c r="E60" s="82"/>
    </row>
    <row r="61" spans="2:5" x14ac:dyDescent="0.2">
      <c r="B61" s="81">
        <v>18</v>
      </c>
      <c r="C61" s="82" t="s">
        <v>85</v>
      </c>
      <c r="D61" s="82"/>
      <c r="E61" s="82"/>
    </row>
    <row r="62" spans="2:5" x14ac:dyDescent="0.2">
      <c r="B62" s="81">
        <v>19</v>
      </c>
      <c r="C62" s="82" t="s">
        <v>86</v>
      </c>
      <c r="D62" s="82"/>
      <c r="E62" s="82"/>
    </row>
    <row r="63" spans="2:5" x14ac:dyDescent="0.2">
      <c r="B63" s="81">
        <v>25</v>
      </c>
      <c r="C63" s="82" t="s">
        <v>87</v>
      </c>
      <c r="D63" s="82"/>
      <c r="E63" s="82"/>
    </row>
    <row r="64" spans="2:5" x14ac:dyDescent="0.2">
      <c r="B64" s="81">
        <v>26</v>
      </c>
      <c r="C64" s="82" t="s">
        <v>88</v>
      </c>
      <c r="D64" s="82"/>
      <c r="E64" s="82"/>
    </row>
    <row r="65" spans="2:5" x14ac:dyDescent="0.2">
      <c r="B65" s="81">
        <v>27</v>
      </c>
      <c r="C65" s="82" t="s">
        <v>89</v>
      </c>
      <c r="D65" s="82"/>
      <c r="E65" s="82"/>
    </row>
    <row r="66" spans="2:5" x14ac:dyDescent="0.2">
      <c r="B66" s="81">
        <v>28</v>
      </c>
      <c r="C66" s="82" t="s">
        <v>90</v>
      </c>
      <c r="D66" s="82"/>
      <c r="E66" s="82"/>
    </row>
    <row r="67" spans="2:5" x14ac:dyDescent="0.2">
      <c r="B67" s="81">
        <v>32</v>
      </c>
      <c r="C67" s="82" t="s">
        <v>91</v>
      </c>
      <c r="D67" s="82"/>
      <c r="E67" s="82"/>
    </row>
    <row r="68" spans="2:5" x14ac:dyDescent="0.2">
      <c r="B68" s="81">
        <v>33</v>
      </c>
      <c r="C68" s="82" t="s">
        <v>92</v>
      </c>
      <c r="D68" s="82"/>
      <c r="E68" s="82"/>
    </row>
    <row r="69" spans="2:5" x14ac:dyDescent="0.2">
      <c r="B69" s="81">
        <v>35</v>
      </c>
      <c r="C69" s="82" t="s">
        <v>93</v>
      </c>
      <c r="D69" s="82"/>
      <c r="E69" s="82"/>
    </row>
    <row r="70" spans="2:5" x14ac:dyDescent="0.2">
      <c r="B70" s="81">
        <v>37</v>
      </c>
      <c r="C70" s="82" t="s">
        <v>94</v>
      </c>
      <c r="D70" s="82"/>
      <c r="E70" s="82"/>
    </row>
    <row r="71" spans="2:5" x14ac:dyDescent="0.2">
      <c r="B71" s="81">
        <v>38</v>
      </c>
      <c r="C71" s="82" t="s">
        <v>95</v>
      </c>
      <c r="D71" s="82"/>
      <c r="E71" s="82"/>
    </row>
    <row r="72" spans="2:5" x14ac:dyDescent="0.2">
      <c r="B72" s="81">
        <v>39</v>
      </c>
      <c r="C72" s="82" t="s">
        <v>96</v>
      </c>
      <c r="D72" s="82"/>
      <c r="E72" s="82"/>
    </row>
    <row r="73" spans="2:5" x14ac:dyDescent="0.2">
      <c r="B73" s="81">
        <v>40</v>
      </c>
      <c r="C73" s="82" t="s">
        <v>97</v>
      </c>
      <c r="D73" s="82"/>
      <c r="E73" s="82"/>
    </row>
    <row r="74" spans="2:5" x14ac:dyDescent="0.2">
      <c r="B74" s="81">
        <v>41</v>
      </c>
      <c r="C74" s="82" t="s">
        <v>63</v>
      </c>
      <c r="D74" s="82"/>
      <c r="E74" s="82"/>
    </row>
    <row r="75" spans="2:5" x14ac:dyDescent="0.2">
      <c r="B75" s="81">
        <v>42</v>
      </c>
      <c r="C75" s="82" t="s">
        <v>98</v>
      </c>
      <c r="D75" s="82"/>
      <c r="E75" s="82"/>
    </row>
    <row r="76" spans="2:5" x14ac:dyDescent="0.2">
      <c r="B76" s="81">
        <v>43</v>
      </c>
      <c r="C76" s="82" t="s">
        <v>99</v>
      </c>
      <c r="D76" s="82"/>
      <c r="E76" s="82"/>
    </row>
    <row r="77" spans="2:5" x14ac:dyDescent="0.2">
      <c r="B77" s="81">
        <v>44</v>
      </c>
      <c r="C77" s="82" t="s">
        <v>100</v>
      </c>
      <c r="D77" s="82"/>
      <c r="E77" s="82"/>
    </row>
    <row r="78" spans="2:5" x14ac:dyDescent="0.2">
      <c r="B78" s="81">
        <v>45</v>
      </c>
      <c r="C78" s="82" t="s">
        <v>101</v>
      </c>
      <c r="D78" s="82"/>
      <c r="E78" s="82"/>
    </row>
    <row r="79" spans="2:5" x14ac:dyDescent="0.2">
      <c r="B79" s="81">
        <v>46</v>
      </c>
      <c r="C79" s="82" t="s">
        <v>102</v>
      </c>
      <c r="D79" s="82"/>
      <c r="E79" s="82"/>
    </row>
    <row r="80" spans="2:5" x14ac:dyDescent="0.2">
      <c r="B80" s="81">
        <v>47</v>
      </c>
      <c r="C80" s="82" t="s">
        <v>103</v>
      </c>
      <c r="D80" s="82"/>
      <c r="E80" s="82"/>
    </row>
    <row r="81" spans="2:5" x14ac:dyDescent="0.2">
      <c r="B81" s="81">
        <v>48</v>
      </c>
      <c r="C81" s="82" t="s">
        <v>104</v>
      </c>
      <c r="D81" s="82"/>
      <c r="E81" s="82"/>
    </row>
    <row r="82" spans="2:5" x14ac:dyDescent="0.2">
      <c r="B82" s="81">
        <v>49</v>
      </c>
      <c r="C82" s="82" t="s">
        <v>105</v>
      </c>
      <c r="D82" s="82"/>
      <c r="E82" s="82"/>
    </row>
    <row r="83" spans="2:5" x14ac:dyDescent="0.2">
      <c r="B83" s="81">
        <v>50</v>
      </c>
      <c r="C83" s="82" t="s">
        <v>106</v>
      </c>
      <c r="D83" s="82"/>
      <c r="E83" s="82"/>
    </row>
    <row r="84" spans="2:5" x14ac:dyDescent="0.2">
      <c r="B84" s="81">
        <v>51</v>
      </c>
      <c r="C84" s="82" t="s">
        <v>107</v>
      </c>
      <c r="D84" s="82"/>
      <c r="E84" s="82"/>
    </row>
    <row r="85" spans="2:5" x14ac:dyDescent="0.2">
      <c r="B85" s="81">
        <v>52</v>
      </c>
      <c r="C85" s="82" t="s">
        <v>108</v>
      </c>
      <c r="D85" s="82"/>
      <c r="E85" s="82"/>
    </row>
    <row r="86" spans="2:5" x14ac:dyDescent="0.2">
      <c r="B86" s="81">
        <v>53</v>
      </c>
      <c r="C86" s="82" t="s">
        <v>109</v>
      </c>
      <c r="D86" s="82"/>
      <c r="E86" s="82"/>
    </row>
    <row r="87" spans="2:5" x14ac:dyDescent="0.2">
      <c r="B87" s="81">
        <v>54</v>
      </c>
      <c r="C87" s="82" t="s">
        <v>110</v>
      </c>
      <c r="D87" s="82"/>
      <c r="E87" s="82"/>
    </row>
    <row r="88" spans="2:5" x14ac:dyDescent="0.2">
      <c r="B88" s="81">
        <v>55</v>
      </c>
      <c r="C88" s="82" t="s">
        <v>111</v>
      </c>
      <c r="D88" s="82"/>
      <c r="E88" s="82"/>
    </row>
    <row r="89" spans="2:5" x14ac:dyDescent="0.2">
      <c r="B89" s="81">
        <v>56</v>
      </c>
      <c r="C89" s="82" t="s">
        <v>112</v>
      </c>
      <c r="D89" s="82"/>
      <c r="E89" s="82"/>
    </row>
    <row r="90" spans="2:5" x14ac:dyDescent="0.2">
      <c r="B90" s="81">
        <v>57</v>
      </c>
      <c r="C90" s="82" t="s">
        <v>113</v>
      </c>
      <c r="D90" s="82"/>
      <c r="E90" s="82"/>
    </row>
    <row r="91" spans="2:5" x14ac:dyDescent="0.2">
      <c r="B91" s="81">
        <v>58</v>
      </c>
      <c r="C91" s="82" t="s">
        <v>114</v>
      </c>
      <c r="D91" s="82"/>
      <c r="E91" s="82"/>
    </row>
    <row r="92" spans="2:5" x14ac:dyDescent="0.2">
      <c r="B92" s="81">
        <v>72</v>
      </c>
      <c r="C92" s="82" t="s">
        <v>115</v>
      </c>
      <c r="D92" s="82"/>
      <c r="E92" s="82"/>
    </row>
    <row r="93" spans="2:5" x14ac:dyDescent="0.2">
      <c r="B93" s="81">
        <v>73</v>
      </c>
      <c r="C93" s="82" t="s">
        <v>116</v>
      </c>
      <c r="D93" s="82"/>
      <c r="E93" s="82"/>
    </row>
    <row r="94" spans="2:5" x14ac:dyDescent="0.2">
      <c r="B94" s="81">
        <v>74</v>
      </c>
      <c r="C94" s="82" t="s">
        <v>117</v>
      </c>
      <c r="D94" s="82"/>
      <c r="E94" s="82"/>
    </row>
    <row r="95" spans="2:5" x14ac:dyDescent="0.2">
      <c r="B95" s="81">
        <v>75</v>
      </c>
      <c r="C95" s="82" t="s">
        <v>118</v>
      </c>
      <c r="D95" s="82"/>
      <c r="E95" s="82"/>
    </row>
    <row r="96" spans="2:5" x14ac:dyDescent="0.2">
      <c r="B96" s="81">
        <v>76</v>
      </c>
      <c r="C96" s="82" t="s">
        <v>119</v>
      </c>
      <c r="D96" s="82"/>
      <c r="E96" s="82"/>
    </row>
    <row r="97" spans="2:5" x14ac:dyDescent="0.2">
      <c r="B97" s="81">
        <v>77</v>
      </c>
      <c r="C97" s="82" t="s">
        <v>120</v>
      </c>
      <c r="D97" s="82"/>
      <c r="E97" s="82"/>
    </row>
    <row r="98" spans="2:5" x14ac:dyDescent="0.2">
      <c r="B98" s="81"/>
      <c r="C98" s="82"/>
      <c r="D98" s="82"/>
      <c r="E98" s="82"/>
    </row>
  </sheetData>
  <dataValidations count="1">
    <dataValidation type="list" allowBlank="1" showInputMessage="1" showErrorMessage="1" sqref="C52 E4">
      <formula1>$C$54:$C$97</formula1>
    </dataValidation>
  </dataValidations>
  <hyperlinks>
    <hyperlink ref="C1" r:id="rId1"/>
  </hyperlinks>
  <pageMargins left="0.75" right="0.75" top="1" bottom="1" header="0.5" footer="0.5"/>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Lists!$B$6:$B$7</xm:f>
          </x14:formula1>
          <xm:sqref>C4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79"/>
  <sheetViews>
    <sheetView workbookViewId="0">
      <selection activeCell="G16" sqref="G16"/>
    </sheetView>
  </sheetViews>
  <sheetFormatPr defaultRowHeight="12.75" x14ac:dyDescent="0.2"/>
  <cols>
    <col min="1" max="2" width="3.28515625" style="72" customWidth="1"/>
    <col min="3" max="3" width="78.140625" style="72" customWidth="1"/>
    <col min="4" max="16384" width="9.140625" style="72"/>
  </cols>
  <sheetData>
    <row r="1" spans="1:19" ht="15" x14ac:dyDescent="0.25">
      <c r="A1" s="72" t="s">
        <v>199</v>
      </c>
      <c r="C1" s="90" t="s">
        <v>200</v>
      </c>
      <c r="D1" s="71"/>
      <c r="E1" s="71"/>
    </row>
    <row r="3" spans="1:19" x14ac:dyDescent="0.2">
      <c r="C3" s="73" t="s">
        <v>129</v>
      </c>
      <c r="F3" s="73" t="s">
        <v>62</v>
      </c>
    </row>
    <row r="4" spans="1:19" x14ac:dyDescent="0.2">
      <c r="C4" s="102" t="s">
        <v>131</v>
      </c>
      <c r="D4" s="72" t="s">
        <v>213</v>
      </c>
      <c r="F4" s="75" t="s">
        <v>135</v>
      </c>
      <c r="G4" s="75" t="s">
        <v>136</v>
      </c>
      <c r="H4" s="75" t="s">
        <v>137</v>
      </c>
      <c r="I4" s="75" t="s">
        <v>138</v>
      </c>
      <c r="J4" s="75" t="s">
        <v>139</v>
      </c>
      <c r="K4" s="75" t="s">
        <v>140</v>
      </c>
      <c r="L4" s="75" t="s">
        <v>141</v>
      </c>
      <c r="M4" s="75" t="s">
        <v>142</v>
      </c>
      <c r="N4" s="75" t="s">
        <v>143</v>
      </c>
      <c r="O4" s="76" t="s">
        <v>144</v>
      </c>
      <c r="P4" s="76" t="s">
        <v>145</v>
      </c>
      <c r="Q4" s="76" t="s">
        <v>146</v>
      </c>
      <c r="R4" s="76" t="s">
        <v>147</v>
      </c>
      <c r="S4" s="76" t="s">
        <v>148</v>
      </c>
    </row>
    <row r="5" spans="1:19" x14ac:dyDescent="0.2">
      <c r="C5" s="78" t="s">
        <v>205</v>
      </c>
      <c r="F5" s="71" t="e">
        <f>IF(AND(CurveType="Quadratic", $C$4="Capacity"), OUTPUT!B9, IF(AND(CurveType="Quadratic", $C$4="Efficiency"), OUTPUT!B23, NA()))</f>
        <v>#N/A</v>
      </c>
      <c r="G5" s="71" t="e">
        <f>IF(AND(CurveType="Quadratic", $C$4="Capacity"), OUTPUT!B10, IF(AND(CurveType="Quadratic", $C$4="Efficiency"), OUTPUT!B24, NA()))</f>
        <v>#N/A</v>
      </c>
      <c r="H5" s="71" t="e">
        <f>IF(AND(CurveType="Quadratic", $C$4="Capacity"), OUTPUT!B11, IF(AND(CurveType="Quadratic", $C$4="Efficiency"), OUTPUT!B25, NA()))</f>
        <v>#N/A</v>
      </c>
      <c r="I5" s="98">
        <v>0</v>
      </c>
      <c r="J5" s="98">
        <v>0</v>
      </c>
      <c r="K5" s="98">
        <v>0</v>
      </c>
      <c r="L5" s="71" t="e">
        <f>VLOOKUP($C$43,Data,16,FALSE)</f>
        <v>#N/A</v>
      </c>
      <c r="M5" s="99" t="s">
        <v>211</v>
      </c>
      <c r="N5" s="99" t="s">
        <v>212</v>
      </c>
      <c r="O5" s="71" t="e">
        <f>IF(AND(CurveType="Quadratic", $C$4="Capacity"), OUTPUT!B12, IF(AND(CurveType="Quadratic", $C$4="Efficiency"), OUTPUT!B26, NA()))</f>
        <v>#N/A</v>
      </c>
      <c r="P5" s="71" t="e">
        <f>IF(AND(CurveType="Quadratic", $C$4="Capacity"), OUTPUT!B13, IF(AND(CurveType="Quadratic", $C$4="Efficiency"), OUTPUT!B27, NA()))</f>
        <v>#N/A</v>
      </c>
      <c r="Q5" s="71" t="e">
        <f>IF(AND(CurveType="Quadratic", $C$4="Capacity"), OUTPUT!B14, IF(AND(CurveType="Quadratic", $C$4="Efficiency"), OUTPUT!B28, NA()))</f>
        <v>#N/A</v>
      </c>
      <c r="R5" s="71" t="e">
        <f>IF(AND(CurveType="Quadratic", $C$4="Capacity"), OUTPUT!B15, IF(AND(CurveType="Quadratic", $C$4="Efficiency"), OUTPUT!B29, NA()))</f>
        <v>#N/A</v>
      </c>
      <c r="S5" s="71" t="e">
        <f>VLOOKUP($C$43,Data,7,FALSE)</f>
        <v>#N/A</v>
      </c>
    </row>
    <row r="7" spans="1:19" x14ac:dyDescent="0.2">
      <c r="F7" s="73" t="s">
        <v>77</v>
      </c>
    </row>
    <row r="8" spans="1:19" x14ac:dyDescent="0.2">
      <c r="F8" s="77"/>
      <c r="G8" s="78" t="str">
        <f>_X_Axis</f>
        <v>PLR</v>
      </c>
      <c r="H8" s="78"/>
      <c r="I8" s="78"/>
      <c r="J8" s="78"/>
      <c r="K8" s="78"/>
      <c r="L8" s="78"/>
      <c r="M8" s="78"/>
    </row>
    <row r="9" spans="1:19" x14ac:dyDescent="0.2">
      <c r="F9" s="77"/>
      <c r="G9" s="80" t="e">
        <f>_X_min</f>
        <v>#N/A</v>
      </c>
      <c r="H9" s="80" t="e">
        <f>_X_min+1*(_X_max-_X_min)/6</f>
        <v>#N/A</v>
      </c>
      <c r="I9" s="80" t="e">
        <f>_X_min+2*(_X_max-_X_min)/6</f>
        <v>#N/A</v>
      </c>
      <c r="J9" s="80" t="e">
        <f>_X_min+3*(_X_max-_X_min)/6</f>
        <v>#N/A</v>
      </c>
      <c r="K9" s="80" t="e">
        <f>_X_min+4*(_X_max-_X_min)/6</f>
        <v>#N/A</v>
      </c>
      <c r="L9" s="80" t="e">
        <f>_X_min+5*(_X_max-_X_min)/6</f>
        <v>#N/A</v>
      </c>
      <c r="M9" s="80" t="e">
        <f>_X_max</f>
        <v>#N/A</v>
      </c>
    </row>
    <row r="10" spans="1:19" x14ac:dyDescent="0.2">
      <c r="F10" s="79"/>
      <c r="G10" s="80" t="e">
        <f t="shared" ref="G10:M10" si="0">_a+_b*G$9+_c*G$9^2+_d*G$9^3</f>
        <v>#N/A</v>
      </c>
      <c r="H10" s="80" t="e">
        <f t="shared" si="0"/>
        <v>#N/A</v>
      </c>
      <c r="I10" s="80" t="e">
        <f t="shared" si="0"/>
        <v>#N/A</v>
      </c>
      <c r="J10" s="80" t="e">
        <f t="shared" si="0"/>
        <v>#N/A</v>
      </c>
      <c r="K10" s="80" t="e">
        <f t="shared" si="0"/>
        <v>#N/A</v>
      </c>
      <c r="L10" s="80" t="e">
        <f t="shared" si="0"/>
        <v>#N/A</v>
      </c>
      <c r="M10" s="80" t="e">
        <f t="shared" si="0"/>
        <v>#N/A</v>
      </c>
    </row>
    <row r="11" spans="1:19" x14ac:dyDescent="0.2">
      <c r="F11" s="79"/>
      <c r="G11" s="80"/>
      <c r="H11" s="80"/>
      <c r="I11" s="80"/>
      <c r="J11" s="80"/>
      <c r="K11" s="80"/>
      <c r="L11" s="80"/>
      <c r="M11" s="80"/>
    </row>
    <row r="12" spans="1:19" x14ac:dyDescent="0.2">
      <c r="F12" s="85"/>
      <c r="G12" s="80"/>
      <c r="H12" s="80"/>
      <c r="I12" s="80"/>
      <c r="J12" s="80"/>
      <c r="K12" s="80"/>
      <c r="L12" s="80"/>
      <c r="M12" s="80"/>
    </row>
    <row r="13" spans="1:19" x14ac:dyDescent="0.2">
      <c r="F13" s="79"/>
      <c r="G13" s="80"/>
      <c r="H13" s="80"/>
      <c r="I13" s="80"/>
      <c r="J13" s="80"/>
      <c r="K13" s="80"/>
      <c r="L13" s="80"/>
      <c r="M13" s="80"/>
    </row>
    <row r="14" spans="1:19" x14ac:dyDescent="0.2">
      <c r="F14" s="85"/>
      <c r="G14" s="80"/>
      <c r="H14" s="80"/>
      <c r="I14" s="80"/>
      <c r="J14" s="80"/>
      <c r="K14" s="80"/>
      <c r="L14" s="80"/>
      <c r="M14" s="80"/>
    </row>
    <row r="15" spans="1:19" x14ac:dyDescent="0.2">
      <c r="F15" s="79"/>
      <c r="G15" s="80"/>
      <c r="H15" s="80"/>
      <c r="I15" s="80"/>
      <c r="J15" s="80"/>
      <c r="K15" s="80"/>
      <c r="L15" s="80"/>
      <c r="M15" s="80"/>
    </row>
    <row r="16" spans="1:19" x14ac:dyDescent="0.2">
      <c r="G16" s="80"/>
      <c r="H16" s="80"/>
      <c r="I16" s="80"/>
      <c r="J16" s="80"/>
      <c r="K16" s="80"/>
      <c r="L16" s="80"/>
      <c r="M16" s="80"/>
    </row>
    <row r="17" spans="6:6" x14ac:dyDescent="0.2">
      <c r="F17" s="79"/>
    </row>
    <row r="19" spans="6:6" x14ac:dyDescent="0.2">
      <c r="F19" s="86"/>
    </row>
    <row r="42" spans="2:4" x14ac:dyDescent="0.2">
      <c r="C42" s="73" t="s">
        <v>61</v>
      </c>
      <c r="D42" s="72" t="s">
        <v>149</v>
      </c>
    </row>
    <row r="43" spans="2:4" x14ac:dyDescent="0.2">
      <c r="C43" s="74" t="s">
        <v>134</v>
      </c>
      <c r="D43" s="72" t="s">
        <v>150</v>
      </c>
    </row>
    <row r="44" spans="2:4" x14ac:dyDescent="0.2">
      <c r="D44" s="72" t="s">
        <v>151</v>
      </c>
    </row>
    <row r="45" spans="2:4" x14ac:dyDescent="0.2">
      <c r="B45" s="81">
        <v>1</v>
      </c>
      <c r="C45" s="87" t="s">
        <v>152</v>
      </c>
      <c r="D45" s="72" t="s">
        <v>153</v>
      </c>
    </row>
    <row r="46" spans="2:4" x14ac:dyDescent="0.2">
      <c r="B46" s="81">
        <v>2</v>
      </c>
      <c r="C46" s="87" t="s">
        <v>154</v>
      </c>
      <c r="D46" s="72" t="s">
        <v>153</v>
      </c>
    </row>
    <row r="47" spans="2:4" x14ac:dyDescent="0.2">
      <c r="B47" s="81">
        <v>3</v>
      </c>
      <c r="C47" s="87" t="s">
        <v>155</v>
      </c>
      <c r="D47" s="72" t="s">
        <v>153</v>
      </c>
    </row>
    <row r="48" spans="2:4" x14ac:dyDescent="0.2">
      <c r="B48" s="81">
        <v>4</v>
      </c>
      <c r="C48" s="87" t="s">
        <v>156</v>
      </c>
      <c r="D48" s="72" t="s">
        <v>153</v>
      </c>
    </row>
    <row r="49" spans="2:4" x14ac:dyDescent="0.2">
      <c r="B49" s="81">
        <v>5</v>
      </c>
      <c r="C49" s="87" t="s">
        <v>157</v>
      </c>
      <c r="D49" s="72" t="s">
        <v>153</v>
      </c>
    </row>
    <row r="50" spans="2:4" x14ac:dyDescent="0.2">
      <c r="B50" s="81">
        <v>6</v>
      </c>
      <c r="C50" s="87" t="s">
        <v>158</v>
      </c>
      <c r="D50" s="72" t="s">
        <v>153</v>
      </c>
    </row>
    <row r="51" spans="2:4" x14ac:dyDescent="0.2">
      <c r="B51" s="81">
        <v>7</v>
      </c>
      <c r="C51" s="88" t="s">
        <v>159</v>
      </c>
      <c r="D51" s="72" t="s">
        <v>153</v>
      </c>
    </row>
    <row r="52" spans="2:4" x14ac:dyDescent="0.2">
      <c r="B52" s="81">
        <v>14</v>
      </c>
      <c r="C52" s="82" t="s">
        <v>160</v>
      </c>
      <c r="D52" s="72" t="s">
        <v>161</v>
      </c>
    </row>
    <row r="53" spans="2:4" x14ac:dyDescent="0.2">
      <c r="B53" s="81">
        <v>15</v>
      </c>
      <c r="C53" s="82" t="s">
        <v>162</v>
      </c>
      <c r="D53" s="72" t="s">
        <v>161</v>
      </c>
    </row>
    <row r="54" spans="2:4" x14ac:dyDescent="0.2">
      <c r="B54" s="81">
        <v>16</v>
      </c>
      <c r="C54" s="82" t="s">
        <v>163</v>
      </c>
      <c r="D54" s="72" t="s">
        <v>161</v>
      </c>
    </row>
    <row r="55" spans="2:4" x14ac:dyDescent="0.2">
      <c r="B55" s="81">
        <v>20</v>
      </c>
      <c r="C55" s="82" t="s">
        <v>164</v>
      </c>
      <c r="D55" s="72" t="s">
        <v>165</v>
      </c>
    </row>
    <row r="56" spans="2:4" x14ac:dyDescent="0.2">
      <c r="B56" s="81">
        <v>21</v>
      </c>
      <c r="C56" s="82" t="s">
        <v>166</v>
      </c>
      <c r="D56" s="72" t="s">
        <v>167</v>
      </c>
    </row>
    <row r="57" spans="2:4" x14ac:dyDescent="0.2">
      <c r="B57" s="81">
        <v>22</v>
      </c>
      <c r="C57" s="82" t="s">
        <v>168</v>
      </c>
      <c r="D57" s="72" t="s">
        <v>167</v>
      </c>
    </row>
    <row r="58" spans="2:4" x14ac:dyDescent="0.2">
      <c r="B58" s="81">
        <v>23</v>
      </c>
      <c r="C58" s="82" t="s">
        <v>169</v>
      </c>
      <c r="D58" s="72" t="s">
        <v>167</v>
      </c>
    </row>
    <row r="59" spans="2:4" x14ac:dyDescent="0.2">
      <c r="B59" s="81">
        <v>24</v>
      </c>
      <c r="C59" s="82" t="s">
        <v>134</v>
      </c>
      <c r="D59" s="72" t="s">
        <v>167</v>
      </c>
    </row>
    <row r="60" spans="2:4" x14ac:dyDescent="0.2">
      <c r="B60" s="81">
        <v>29</v>
      </c>
      <c r="C60" s="82" t="s">
        <v>170</v>
      </c>
      <c r="D60" s="72" t="s">
        <v>171</v>
      </c>
    </row>
    <row r="61" spans="2:4" x14ac:dyDescent="0.2">
      <c r="B61" s="81">
        <v>30</v>
      </c>
      <c r="C61" s="82" t="s">
        <v>172</v>
      </c>
      <c r="D61" s="72" t="s">
        <v>171</v>
      </c>
    </row>
    <row r="62" spans="2:4" x14ac:dyDescent="0.2">
      <c r="B62" s="81">
        <v>31</v>
      </c>
      <c r="C62" s="82" t="s">
        <v>173</v>
      </c>
      <c r="D62" s="72" t="s">
        <v>174</v>
      </c>
    </row>
    <row r="63" spans="2:4" x14ac:dyDescent="0.2">
      <c r="B63" s="81">
        <v>34</v>
      </c>
      <c r="C63" s="82" t="s">
        <v>175</v>
      </c>
      <c r="D63" s="72" t="s">
        <v>176</v>
      </c>
    </row>
    <row r="64" spans="2:4" x14ac:dyDescent="0.2">
      <c r="B64" s="81">
        <v>36</v>
      </c>
      <c r="C64" s="82" t="s">
        <v>177</v>
      </c>
      <c r="D64" s="72" t="s">
        <v>176</v>
      </c>
    </row>
    <row r="65" spans="2:4" x14ac:dyDescent="0.2">
      <c r="B65" s="81">
        <v>59</v>
      </c>
      <c r="C65" s="82" t="s">
        <v>178</v>
      </c>
      <c r="D65" s="72" t="s">
        <v>179</v>
      </c>
    </row>
    <row r="66" spans="2:4" x14ac:dyDescent="0.2">
      <c r="B66" s="81">
        <v>60</v>
      </c>
      <c r="C66" s="82" t="s">
        <v>180</v>
      </c>
      <c r="D66" s="72" t="s">
        <v>179</v>
      </c>
    </row>
    <row r="67" spans="2:4" x14ac:dyDescent="0.2">
      <c r="B67" s="81">
        <v>61</v>
      </c>
      <c r="C67" s="82" t="s">
        <v>181</v>
      </c>
      <c r="D67" s="72" t="s">
        <v>179</v>
      </c>
    </row>
    <row r="68" spans="2:4" x14ac:dyDescent="0.2">
      <c r="B68" s="81">
        <v>62</v>
      </c>
      <c r="C68" s="82" t="s">
        <v>182</v>
      </c>
      <c r="D68" s="72" t="s">
        <v>183</v>
      </c>
    </row>
    <row r="69" spans="2:4" x14ac:dyDescent="0.2">
      <c r="B69" s="81">
        <v>63</v>
      </c>
      <c r="C69" s="82" t="s">
        <v>184</v>
      </c>
      <c r="D69" s="72" t="s">
        <v>183</v>
      </c>
    </row>
    <row r="70" spans="2:4" x14ac:dyDescent="0.2">
      <c r="B70" s="81">
        <v>64</v>
      </c>
      <c r="C70" s="82" t="s">
        <v>185</v>
      </c>
      <c r="D70" s="72" t="s">
        <v>183</v>
      </c>
    </row>
    <row r="71" spans="2:4" x14ac:dyDescent="0.2">
      <c r="B71" s="81">
        <v>65</v>
      </c>
      <c r="C71" s="82" t="s">
        <v>186</v>
      </c>
      <c r="D71" s="72" t="s">
        <v>183</v>
      </c>
    </row>
    <row r="72" spans="2:4" x14ac:dyDescent="0.2">
      <c r="B72" s="81">
        <v>66</v>
      </c>
      <c r="C72" s="82" t="s">
        <v>187</v>
      </c>
      <c r="D72" s="72" t="s">
        <v>188</v>
      </c>
    </row>
    <row r="73" spans="2:4" x14ac:dyDescent="0.2">
      <c r="B73" s="81">
        <v>67</v>
      </c>
      <c r="C73" s="82" t="s">
        <v>189</v>
      </c>
      <c r="D73" s="72" t="s">
        <v>188</v>
      </c>
    </row>
    <row r="74" spans="2:4" x14ac:dyDescent="0.2">
      <c r="B74" s="81">
        <v>68</v>
      </c>
      <c r="C74" s="82" t="s">
        <v>190</v>
      </c>
      <c r="D74" s="72" t="s">
        <v>188</v>
      </c>
    </row>
    <row r="75" spans="2:4" x14ac:dyDescent="0.2">
      <c r="B75" s="81">
        <v>69</v>
      </c>
      <c r="C75" s="82" t="s">
        <v>191</v>
      </c>
      <c r="D75" s="72" t="s">
        <v>192</v>
      </c>
    </row>
    <row r="76" spans="2:4" x14ac:dyDescent="0.2">
      <c r="B76" s="81">
        <v>70</v>
      </c>
      <c r="C76" s="82" t="s">
        <v>193</v>
      </c>
      <c r="D76" s="72" t="s">
        <v>192</v>
      </c>
    </row>
    <row r="77" spans="2:4" x14ac:dyDescent="0.2">
      <c r="B77" s="81">
        <v>71</v>
      </c>
      <c r="C77" s="82" t="s">
        <v>194</v>
      </c>
      <c r="D77" s="72" t="s">
        <v>192</v>
      </c>
    </row>
    <row r="78" spans="2:4" x14ac:dyDescent="0.2">
      <c r="B78" s="81">
        <v>80</v>
      </c>
      <c r="C78" s="82" t="s">
        <v>195</v>
      </c>
      <c r="D78" s="72" t="s">
        <v>196</v>
      </c>
    </row>
    <row r="79" spans="2:4" x14ac:dyDescent="0.2">
      <c r="B79" s="81">
        <v>81</v>
      </c>
      <c r="C79" s="82" t="s">
        <v>197</v>
      </c>
      <c r="D79" s="72" t="s">
        <v>198</v>
      </c>
    </row>
  </sheetData>
  <dataValidations disablePrompts="1" count="1">
    <dataValidation type="list" allowBlank="1" showInputMessage="1" showErrorMessage="1" sqref="C43">
      <formula1>$C$45:$C$79</formula1>
    </dataValidation>
  </dataValidations>
  <hyperlinks>
    <hyperlink ref="C1" r:id="rId1"/>
  </hyperlinks>
  <pageMargins left="0.75" right="0.75" top="1" bottom="1" header="0.5" footer="0.5"/>
  <pageSetup orientation="portrait" r:id="rId2"/>
  <headerFooter alignWithMargins="0"/>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B7"/>
  <sheetViews>
    <sheetView workbookViewId="0">
      <selection activeCell="H21" sqref="H21"/>
    </sheetView>
  </sheetViews>
  <sheetFormatPr defaultRowHeight="15" x14ac:dyDescent="0.25"/>
  <sheetData>
    <row r="3" spans="2:2" x14ac:dyDescent="0.25">
      <c r="B3" t="s">
        <v>121</v>
      </c>
    </row>
    <row r="4" spans="2:2" x14ac:dyDescent="0.25">
      <c r="B4" t="s">
        <v>204</v>
      </c>
    </row>
    <row r="5" spans="2:2" x14ac:dyDescent="0.25">
      <c r="B5" s="91"/>
    </row>
    <row r="6" spans="2:2" x14ac:dyDescent="0.25">
      <c r="B6" s="92" t="s">
        <v>130</v>
      </c>
    </row>
    <row r="7" spans="2:2" x14ac:dyDescent="0.25">
      <c r="B7" s="93"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36</vt:i4>
      </vt:variant>
    </vt:vector>
  </HeadingPairs>
  <TitlesOfParts>
    <vt:vector size="42" baseType="lpstr">
      <vt:lpstr>INSTRUCTION</vt:lpstr>
      <vt:lpstr>INPUT</vt:lpstr>
      <vt:lpstr>OUTPUT</vt:lpstr>
      <vt:lpstr>BiLinear_BiQuad</vt:lpstr>
      <vt:lpstr>Linear_Quad_Cubic</vt:lpstr>
      <vt:lpstr>Lists</vt:lpstr>
      <vt:lpstr>Linear_Quad_Cubic!_a</vt:lpstr>
      <vt:lpstr>Linear_Quad_Cubic!_b</vt:lpstr>
      <vt:lpstr>Linear_Quad_Cubic!_c</vt:lpstr>
      <vt:lpstr>Linear_Quad_Cubic!_d</vt:lpstr>
      <vt:lpstr>_e</vt:lpstr>
      <vt:lpstr>_f</vt:lpstr>
      <vt:lpstr>Linear_Quad_Cubic!_X_Axis</vt:lpstr>
      <vt:lpstr>Linear_Quad_Cubic!_X_max</vt:lpstr>
      <vt:lpstr>Linear_Quad_Cubic!_X_min</vt:lpstr>
      <vt:lpstr>_Y_Axis</vt:lpstr>
      <vt:lpstr>_Y_max</vt:lpstr>
      <vt:lpstr>_Y_min</vt:lpstr>
      <vt:lpstr>Linear_Quad_Cubic!_Z_Axis</vt:lpstr>
      <vt:lpstr>a</vt:lpstr>
      <vt:lpstr>b</vt:lpstr>
      <vt:lpstr>c_</vt:lpstr>
      <vt:lpstr>CoolingCoil</vt:lpstr>
      <vt:lpstr>CurveObjName</vt:lpstr>
      <vt:lpstr>CurveType</vt:lpstr>
      <vt:lpstr>d</vt:lpstr>
      <vt:lpstr>DXCoilType</vt:lpstr>
      <vt:lpstr>e</vt:lpstr>
      <vt:lpstr>EPCurveObjName</vt:lpstr>
      <vt:lpstr>f</vt:lpstr>
      <vt:lpstr>HeatingCoil</vt:lpstr>
      <vt:lpstr>IndVariables</vt:lpstr>
      <vt:lpstr>PathName</vt:lpstr>
      <vt:lpstr>RatedCondition</vt:lpstr>
      <vt:lpstr>UnitsType</vt:lpstr>
      <vt:lpstr>X_Axis</vt:lpstr>
      <vt:lpstr>X_max</vt:lpstr>
      <vt:lpstr>X_min</vt:lpstr>
      <vt:lpstr>Y_Axis</vt:lpstr>
      <vt:lpstr>Y_max</vt:lpstr>
      <vt:lpstr>Y_min</vt:lpstr>
      <vt:lpstr>Z_Axis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Bereket Nigusse</dc:creator>
  <cp:lastModifiedBy>Matt Steen</cp:lastModifiedBy>
  <dcterms:created xsi:type="dcterms:W3CDTF">2006-09-16T00:00:00Z</dcterms:created>
  <dcterms:modified xsi:type="dcterms:W3CDTF">2016-10-14T21:15:45Z</dcterms:modified>
</cp:coreProperties>
</file>